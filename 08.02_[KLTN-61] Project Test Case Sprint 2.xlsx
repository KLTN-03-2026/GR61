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C:\Users\ADMIN\Documents\tệp cần dùng\"/>
    </mc:Choice>
  </mc:AlternateContent>
  <xr:revisionPtr revIDLastSave="0" documentId="13_ncr:1_{6E866E9A-4016-431E-BA96-A199D0B31F48}" xr6:coauthVersionLast="47" xr6:coauthVersionMax="47" xr10:uidLastSave="{00000000-0000-0000-0000-000000000000}"/>
  <bookViews>
    <workbookView xWindow="-108" yWindow="-108" windowWidth="23256" windowHeight="12456" tabRatio="858" xr2:uid="{00000000-000D-0000-FFFF-FFFF00000000}"/>
  </bookViews>
  <sheets>
    <sheet name="Trường hợp kiểm thử" sheetId="12" r:id="rId1"/>
    <sheet name="Thư viện thẻ" sheetId="24" r:id="rId2"/>
    <sheet name="Lịch sử rèn luyện" sheetId="27" r:id="rId3"/>
    <sheet name="chi tiết thư mục" sheetId="28" r:id="rId4"/>
    <sheet name="Kiểm tra" sheetId="29" r:id="rId5"/>
    <sheet name="Quản lý tài liệu học tập" sheetId="31" r:id="rId6"/>
    <sheet name="Quản lý ghi chú cá nhân" sheetId="30" r:id="rId7"/>
    <sheet name="Thống kê học tập" sheetId="25" r:id="rId8"/>
    <sheet name="Chatbot AI" sheetId="2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2" l="1"/>
  <c r="E5" i="29" l="1"/>
  <c r="D5" i="29"/>
  <c r="E4" i="29"/>
  <c r="D4" i="29"/>
  <c r="E5" i="28"/>
  <c r="D5" i="28"/>
  <c r="E4" i="28"/>
  <c r="D4" i="28"/>
  <c r="E5" i="27"/>
  <c r="D5" i="27"/>
  <c r="E4" i="27"/>
  <c r="D4" i="27"/>
  <c r="E5" i="24"/>
  <c r="D5" i="24"/>
  <c r="E4" i="24"/>
  <c r="D4" i="24"/>
  <c r="D4" i="26"/>
  <c r="E4" i="26"/>
  <c r="D5" i="26"/>
  <c r="E5" i="26"/>
  <c r="D4" i="25"/>
  <c r="E4" i="25"/>
  <c r="D5" i="25"/>
  <c r="E5" i="25"/>
</calcChain>
</file>

<file path=xl/sharedStrings.xml><?xml version="1.0" encoding="utf-8"?>
<sst xmlns="http://schemas.openxmlformats.org/spreadsheetml/2006/main" count="1749" uniqueCount="602">
  <si>
    <t>TEST CASE SYSTEM SPRINT 2</t>
  </si>
  <si>
    <t>Tên dự án</t>
  </si>
  <si>
    <t>STT</t>
  </si>
  <si>
    <t>Chức năng</t>
  </si>
  <si>
    <t>Sheet Name</t>
  </si>
  <si>
    <t>Mô tả</t>
  </si>
  <si>
    <t>Project Name</t>
  </si>
  <si>
    <t>Module Code</t>
  </si>
  <si>
    <t>Hoàn thành</t>
  </si>
  <si>
    <t>Lỗi</t>
  </si>
  <si>
    <t>Chưa kiểm tra</t>
  </si>
  <si>
    <t>Round 1</t>
  </si>
  <si>
    <t>Round 2</t>
  </si>
  <si>
    <t>Test Case ID</t>
  </si>
  <si>
    <t>Điều kiện tiên quyết</t>
  </si>
  <si>
    <t>Kết quả mong đợi</t>
  </si>
  <si>
    <t>Kết quả thực tế</t>
  </si>
  <si>
    <t>Kết quả</t>
  </si>
  <si>
    <t>Chú thích</t>
  </si>
  <si>
    <t>Vòng 1</t>
  </si>
  <si>
    <t>Vòng 2</t>
  </si>
  <si>
    <t>Trạng thái</t>
  </si>
  <si>
    <t>Ngày kiểm tra</t>
  </si>
  <si>
    <t>Người kiểm tra</t>
  </si>
  <si>
    <t>Hoàng</t>
  </si>
  <si>
    <t>[Quay lại] Button</t>
  </si>
  <si>
    <t xml:space="preserve"> -Text color : black
 -Status : enable</t>
  </si>
  <si>
    <t xml:space="preserve"> -Label : black
 -Status : enable</t>
  </si>
  <si>
    <t>[Sửa] Button</t>
  </si>
  <si>
    <t>[Xóa] Button</t>
  </si>
  <si>
    <t>Thiết kế và phát triển nền tảng học tập thông minh tích hợp trợ lý ảo AI và cá nhân hoá lộ trình học tập</t>
  </si>
  <si>
    <t>Số lượng test</t>
  </si>
  <si>
    <t>Nhi</t>
  </si>
  <si>
    <t>Hằng</t>
  </si>
  <si>
    <t xml:space="preserve">Tạo và ôn tập flashcard </t>
  </si>
  <si>
    <t>Quản lý tài liệu học tập</t>
  </si>
  <si>
    <t>Quản lý ghi chú cá nhân</t>
  </si>
  <si>
    <t>Dữ liệu hiển thị đúng theo tỷ lệ phần trăm todolist đã hoàn thành</t>
  </si>
  <si>
    <t>Đăng nhập thành công 
vào hệ thống</t>
  </si>
  <si>
    <t xml:space="preserve">1. Truy cập vào trang thống kê
2. Chọn "Tỷ lệ phần trăm"
</t>
  </si>
  <si>
    <t>Kiểm tra biểu đồ hiển thị theo tỷ lệ phần trăm</t>
  </si>
  <si>
    <t>FUNC-TKHT07</t>
  </si>
  <si>
    <t>Dữ liệu hiển thị đúng theo tổng số todolist đã hoàn thành</t>
  </si>
  <si>
    <t xml:space="preserve">1. Truy cập vào trang thống kê
2. Chọn "Tổng số lượng"
</t>
  </si>
  <si>
    <t>Kiểm tra biểu đồ hiển thị theo tổng số lượng</t>
  </si>
  <si>
    <t>FUNC-TKHT06</t>
  </si>
  <si>
    <t>Dữ liệu hiển thị đúng theo tháng trong năm</t>
  </si>
  <si>
    <t xml:space="preserve">1. Truy cập vào trang thống kê
2. Chọn "Năm này"
</t>
  </si>
  <si>
    <t>Kiểm tra biểu đồ hiển thị theo năm</t>
  </si>
  <si>
    <t>FUNC-TKHT05</t>
  </si>
  <si>
    <t>Dữ liệu hiển thị đúng theo ngày trong tháng</t>
  </si>
  <si>
    <t xml:space="preserve">1. Truy cập vào trang thống kê
2. Chọn "Tháng này"
</t>
  </si>
  <si>
    <t>Kiểm tra biểu đồ hiển thị theo tháng</t>
  </si>
  <si>
    <t>FUNC-TKHT04</t>
  </si>
  <si>
    <t>Dữ liệu hiển thị đúng theo 7 ngày gần nhất</t>
  </si>
  <si>
    <t xml:space="preserve">1. Truy cập vào trang thống kê
2. Chọn "Tuần này"
</t>
  </si>
  <si>
    <t>Kiểm tra biểu đồ hiển thị theo tuần</t>
  </si>
  <si>
    <t>FUNC-TKHT03</t>
  </si>
  <si>
    <t>Biểu đồ rỗng</t>
  </si>
  <si>
    <t xml:space="preserve">1. Truy cập vào trang chủ
2. Chọn "Thống kê" ở sidebar   
</t>
  </si>
  <si>
    <t>Kiểm tra biểu đồ hiển thị khi không có dữ liệu</t>
  </si>
  <si>
    <t>FUNC-TKHT02</t>
  </si>
  <si>
    <t>Hiển thị trang thống kê gồm có:
- Label "Thống kê kết quả"
- Button "Tuần này"
- Button "Tháng này"
- Button "Năm này"
- Button "Tổng số lượng"
- Button "Tỷ lệ phần trăm"
- Biểu đồ hiển thị đúng theo mặc định</t>
  </si>
  <si>
    <t>Xác thực trang thống kê đang hiển thị</t>
  </si>
  <si>
    <t>FUNC-TKHT01</t>
  </si>
  <si>
    <t>FUNCTION_SHOW Thống kê học tập</t>
  </si>
  <si>
    <t xml:space="preserve"> -Text color : white
 -Status : enable</t>
  </si>
  <si>
    <t>[Tỷ lệ phần trăm] Button</t>
  </si>
  <si>
    <t>GUI-TKHT06</t>
  </si>
  <si>
    <t>[Tổng số lượng] Button</t>
  </si>
  <si>
    <t>GUI-TKHT05</t>
  </si>
  <si>
    <t>[Năm này] Button</t>
  </si>
  <si>
    <t>GUI-TKHT04</t>
  </si>
  <si>
    <t>[Tháng này] Button</t>
  </si>
  <si>
    <t>GUI-TKHT03</t>
  </si>
  <si>
    <t>[Tuần này] Button</t>
  </si>
  <si>
    <t>GUI-TKHT02</t>
  </si>
  <si>
    <t>[ Thống kê kết quả] Label</t>
  </si>
  <si>
    <t>GUI-TKHT01</t>
  </si>
  <si>
    <t>GUI_SHOW Thống kê học tập</t>
  </si>
  <si>
    <t>Hành động</t>
  </si>
  <si>
    <t>Tổng số trường hợp thử nghiệm</t>
  </si>
  <si>
    <t>Bị chăn</t>
  </si>
  <si>
    <t>Thống kê học tập</t>
  </si>
  <si>
    <t xml:space="preserve"> THIẾT KẾ VÀ PHÁT TRIỂN NỀN TÁNG HỌC TẬP THÔNG MINH TÍCH HỢP TRỢ LÝ ẢO AI VÀ CÁ NHÂN HOÁ LỘ TRÌNH HỌC TẬP</t>
  </si>
  <si>
    <t>Không lưu</t>
  </si>
  <si>
    <t>Lưu lại lịch sử chat</t>
  </si>
  <si>
    <t xml:space="preserve">1. Truy cập vào trang chủ
2. Chọn bong bóng chat ở góc phải màn hình   
</t>
  </si>
  <si>
    <t>Kiểm tra lưu lịch sử trò chuyện</t>
  </si>
  <si>
    <t>FUNC-CBAI05</t>
  </si>
  <si>
    <t>Không xuống dòng</t>
  </si>
  <si>
    <t>Xuống dòng khi ký tự đã dài quá khung chat</t>
  </si>
  <si>
    <t xml:space="preserve">1. Truy cập vào trang chủ
2. Chọn bong bóng chat ở góc phải màn hình   
3. Nhập 100 ký tự
4. Bấm nút gửi
</t>
  </si>
  <si>
    <t>Kiểm tra khi gửi tin nhắn dài cho chatbot</t>
  </si>
  <si>
    <t>FUNC-CBAI04</t>
  </si>
  <si>
    <t>Không gửi</t>
  </si>
  <si>
    <t xml:space="preserve">1. Truy cập vào trang chủ
2. Chọn bong bóng chat ở góc phải màn hình   
3. Không nhập gì
4. Bấm nút gửi
</t>
  </si>
  <si>
    <t>Kiểm tra khi gửi tin nhắn rỗng cho chatbot</t>
  </si>
  <si>
    <t>FUNC-CBAI03</t>
  </si>
  <si>
    <t>Chatbot trả lời "Lỗi kết nối AI, vui lòng thử lại sau"</t>
  </si>
  <si>
    <t xml:space="preserve">1. Truy cập vào trang chủ
2. Chọn bong bóng chat ở góc phải màn hình   
</t>
  </si>
  <si>
    <t>Kiểm tra khi chatbot mất kết nối</t>
  </si>
  <si>
    <t>FUNC-CBAI02</t>
  </si>
  <si>
    <t>Chatbot chuyển trạng thái "Đang trực tuyến" thành "Offline"</t>
  </si>
  <si>
    <t>Kiểm tra khi chatbot api lỗi</t>
  </si>
  <si>
    <t>FUNC-CBAI01</t>
  </si>
  <si>
    <t xml:space="preserve"> -Text color : yellow
 -Status : enable</t>
  </si>
  <si>
    <t>[Icon] Button</t>
  </si>
  <si>
    <t>GUI-CBAI04</t>
  </si>
  <si>
    <t>[Ô nhập tin nhắn] Textbox</t>
  </si>
  <si>
    <t>GUI-CBAI03</t>
  </si>
  <si>
    <t>[ĐANG TRỰC TUYẾN] Label</t>
  </si>
  <si>
    <t>GUI-CBAI02</t>
  </si>
  <si>
    <t xml:space="preserve"> -Label : white
 -Status : enable</t>
  </si>
  <si>
    <t>[ AI ASSISTANT ] Label</t>
  </si>
  <si>
    <t>GUI-CBAI01</t>
  </si>
  <si>
    <t>Chatbot AI</t>
  </si>
  <si>
    <t>Pass</t>
  </si>
  <si>
    <t>-Text: white
-Background: Green
-Status: enable
-Border: black</t>
  </si>
  <si>
    <t>-Text: black
-Status: enable</t>
  </si>
  <si>
    <t>Đã đăng nhập</t>
  </si>
  <si>
    <t>Fail</t>
  </si>
  <si>
    <t>Thư viện thẻ</t>
  </si>
  <si>
    <t>Tạo thư mục</t>
  </si>
  <si>
    <t>Kiểm tra</t>
  </si>
  <si>
    <t>[Tiêu đề flashcard] Text</t>
  </si>
  <si>
    <t>[Xem lịch sử] Button</t>
  </si>
  <si>
    <t>[Tạo thư mục flashcard] Button</t>
  </si>
  <si>
    <t>[Khung thư mục flashcard] Panel</t>
  </si>
  <si>
    <t>[Sửa tên folder] Button</t>
  </si>
  <si>
    <t>[Xóa folder] Button</t>
  </si>
  <si>
    <t>-Text: black
-Status: enable
-Border: black</t>
  </si>
  <si>
    <t>-Text: black
-Status: hover: enable 
-Border: black
-Icon: pencil</t>
  </si>
  <si>
    <t>-Text: black
-Status: hover: enable 
-Border: black
-Icon: trash</t>
  </si>
  <si>
    <t>GUI_SHOW Trang Thư viện thẻ</t>
  </si>
  <si>
    <t>FUNCTION_SHOW Trang Thư viện thẻ</t>
  </si>
  <si>
    <t>Xem lịch sử</t>
  </si>
  <si>
    <t>Sửa tên folder</t>
  </si>
  <si>
    <t>Nhấn nút “Xem lịch sử”</t>
  </si>
  <si>
    <t>Hệ thống chuyển hướng đến trang lịch sử thành công</t>
  </si>
  <si>
    <t>Folder tồn tại</t>
  </si>
  <si>
    <t>FUNC-TVT1</t>
  </si>
  <si>
    <t>FUNC-TVT2</t>
  </si>
  <si>
    <t>FUNC-TVT3</t>
  </si>
  <si>
    <t>FUNC-TVT4</t>
  </si>
  <si>
    <t>GUI-TVT1</t>
  </si>
  <si>
    <t>GUI-TVT2</t>
  </si>
  <si>
    <t>GUI-TVT3</t>
  </si>
  <si>
    <t>GUI-TVT4</t>
  </si>
  <si>
    <t>GUI-TVT5</t>
  </si>
  <si>
    <t>GUI-TVT6</t>
  </si>
  <si>
    <t>Tạo thư mục mà không nhập tên</t>
  </si>
  <si>
    <t xml:space="preserve">chọn xóa folder </t>
  </si>
  <si>
    <t>1. Nhấn nút “Xóa folder” khi di chuột vào 1 thư mục
2. Chọn ok</t>
  </si>
  <si>
    <t>thông báo "Đã xóa thư mục!"</t>
  </si>
  <si>
    <t>chọn xóa folder nhưng không xóa</t>
  </si>
  <si>
    <t>1. Nhấn nút “Xóa folder” khi di chuột vào 1 thư mục
2. Chọn hủy</t>
  </si>
  <si>
    <t>thư mục vẫn hiển thị trên thư viện và không bị xóa</t>
  </si>
  <si>
    <t>1. Nhấn nút “Sửa tên folder” khi di chuột vào 1 thư mục
2. Sửa tên thư mục
3. Nhấn xác nhận</t>
  </si>
  <si>
    <t>thông báo "Lỗi lưu thư mục!"</t>
  </si>
  <si>
    <t>thông báo "Đổi tên folder thành công!"</t>
  </si>
  <si>
    <t>Sửa tên folder nhưng không sửa</t>
  </si>
  <si>
    <t>1. Nhấn nút “Sửa tên folder” khi di chuột vào 1 thư mục
2. Sửa tên thư mục
3. Nhấn hủy</t>
  </si>
  <si>
    <t>thư mục vẫn hiển thị tên trên thư viện và không bị sửa tên</t>
  </si>
  <si>
    <t>Sửa tên folder mà không nhập tên folder</t>
  </si>
  <si>
    <t>1. Nhấn nút “Sửa tên folder” khi di chuột vào 1 thư mục
2. Xóa tên thư mục
3. Nhấn xác nhận</t>
  </si>
  <si>
    <t>nút xác nhận bị làm mờ không thể nhấn</t>
  </si>
  <si>
    <t>thông báo "Tạo thư mục thành công!"</t>
  </si>
  <si>
    <t>1. Nhấn nút “Tạo thư mục flashcard”
2. Nhập tên thư mục
3. Nhấn xác nhận</t>
  </si>
  <si>
    <t>1. Nhấn nút “Tạo thư mục flashcard”
2. Nhấn xác nhận</t>
  </si>
  <si>
    <t>Lịch sử rèn luyện</t>
  </si>
  <si>
    <t>chi tiết thư mục</t>
  </si>
  <si>
    <t>Tạo thư mục trùng tên</t>
  </si>
  <si>
    <t>1. Nhấn nút “Tạo thư mục flashcard”
2. Nhập tên thư mục trùng với tên đã tồn tại
3. Nhấn xác nhận</t>
  </si>
  <si>
    <t>thông báo "Tên folder đã tồn tại"</t>
  </si>
  <si>
    <t>[LỊCH SỬ RÈN LUYỆN] Text</t>
  </si>
  <si>
    <t>[Phạm vi (tuần/tháng/năm] Button</t>
  </si>
  <si>
    <t>[Chế độ (Điểm trung bình/số lượng bài)] Button</t>
  </si>
  <si>
    <t>[bảng thống kê]Statistical table</t>
  </si>
  <si>
    <t>[Danh sách câu hỏi] box</t>
  </si>
  <si>
    <t>[Câu hỏi] text</t>
  </si>
  <si>
    <t>[Câu trả lời] text</t>
  </si>
  <si>
    <t>[Câu trả lời đúng] text</t>
  </si>
  <si>
    <t>[Câu trả lời sai] text</t>
  </si>
  <si>
    <t>GUI-LS1</t>
  </si>
  <si>
    <t>GUI-LS2</t>
  </si>
  <si>
    <t>GUI-LS3</t>
  </si>
  <si>
    <t>GUI-LS4</t>
  </si>
  <si>
    <t>GUI-LS5</t>
  </si>
  <si>
    <t>GUI-LS6</t>
  </si>
  <si>
    <t>GUI-LS7</t>
  </si>
  <si>
    <t>GUI-LS8</t>
  </si>
  <si>
    <t>GUI-LS9</t>
  </si>
  <si>
    <t>GUI-LS10</t>
  </si>
  <si>
    <t>GUI-LS11</t>
  </si>
  <si>
    <t>[tiêu đề BÀI LÀM] text</t>
  </si>
  <si>
    <t xml:space="preserve">-Text: black
-Status: enable </t>
  </si>
  <si>
    <t xml:space="preserve">-Text: white
-background: green
-Status: enable </t>
  </si>
  <si>
    <t>GUI-LS12</t>
  </si>
  <si>
    <t>[x] button</t>
  </si>
  <si>
    <t>[Danh sách bài thi] link button</t>
  </si>
  <si>
    <t>-Text: black
-Status: enable 
-background: green</t>
  </si>
  <si>
    <t>-Text: white
-Status: enable 
-background: red</t>
  </si>
  <si>
    <t>-Text: black
-Status: hover: enable 
-Border: black</t>
  </si>
  <si>
    <t>Trạng thái nút được chọn</t>
  </si>
  <si>
    <t>Hiển thị Tooltip trên biểu đồ</t>
  </si>
  <si>
    <t>Di chuyển chuột liên tục</t>
  </si>
  <si>
    <t>Mở chi tiết bài thi</t>
  </si>
  <si>
    <t>Hiển thị nội dung câu hỏi</t>
  </si>
  <si>
    <t>Đóng cửa sổ chi tiết</t>
  </si>
  <si>
    <t>Kiểm tra lọc theo chế độ</t>
  </si>
  <si>
    <t>Đã có dữ liệu biểu đồ</t>
  </si>
  <si>
    <t>1. Click vào từng nút chế độ</t>
  </si>
  <si>
    <t>Màn hình hiển thị đầy đủ nút</t>
  </si>
  <si>
    <t>Nút được chọn đổi màu nền (xanh) và chữ (trắng), các nút khác giữ trạng thái mặc định</t>
  </si>
  <si>
    <t>1. Hover vào điểm dữ liệu trên biểu đồ</t>
  </si>
  <si>
    <t>Có dữ liệu biểu đồ</t>
  </si>
  <si>
    <t>Hiển thị tooltip gồm: - Ngày - Điểm hoặc số lượng bài (theo chế độ)</t>
  </si>
  <si>
    <t>1. Rê chuột qua nhiều điểm dữ liệu</t>
  </si>
  <si>
    <t>Tooltip cập nhật đúng, không lag, không lệch vị trí</t>
  </si>
  <si>
    <t>1. Click vào 1 thẻ bài thi</t>
  </si>
  <si>
    <t>Có danh sách bài thi</t>
  </si>
  <si>
    <t>Hiển thị modal chi tiết gồm tiêu đề và danh sách câu hỏi</t>
  </si>
  <si>
    <t>1. Kiểm tra trong modal</t>
  </si>
  <si>
    <t>Modal đã mở</t>
  </si>
  <si>
    <t>Mỗi câu hỏi hiển thị: - Nội dung câu hỏi - 4 đáp án lựa chọn</t>
  </si>
  <si>
    <t>Logic màu sắc đáp án</t>
  </si>
  <si>
    <t>1. Quan sát câu đã trả lời</t>
  </si>
  <si>
    <t>Có dữ liệu bài làm</t>
  </si>
  <si>
    <t>1. Click nút [X] hoặc Đóng</t>
  </si>
  <si>
    <t>Modal đang mở</t>
  </si>
  <si>
    <t>Modal đóng, quay về màn hình lịch sử</t>
  </si>
  <si>
    <t>1. Click chọn Điểm trung bình 2. Click chọn Số lượng bài</t>
  </si>
  <si>
    <t>Kiểm tra lọc theo phạm vi</t>
  </si>
  <si>
    <t>Có dữ liệu lịch sử</t>
  </si>
  <si>
    <t>1. Click lần lượt vào: Tuần này, Tháng này, Năm nay</t>
  </si>
  <si>
    <t>FUNC-LS1</t>
  </si>
  <si>
    <t>Biểu đồ cập nhật trục X tương ứng: 
- Tuần: theo ngày trong tuần 
- Tháng: theo ngày trong tháng 
- Năm: theo tháng trong năm 
Dữ liệu hiển thị đúng theo phạm vi đã chọn</t>
  </si>
  <si>
    <t>Trục Y và đường biểu diễn thay đổi: 
- Chế độ Điểm: thang 0–100 
- Chế độ Số lượng: hiển thị số bài đã làm</t>
  </si>
  <si>
    <t>- Đáp án đúng: Nền xanh, chữ trắng
- Đáp án sai đã chọn: Nền đỏ, chữ trắng
- Đáp án khác: Nền trắng, chữ đen</t>
  </si>
  <si>
    <t>FUNC-LS2</t>
  </si>
  <si>
    <t>FUNC-LS3</t>
  </si>
  <si>
    <t>FUNC-LS4</t>
  </si>
  <si>
    <t>FUNC-LS5</t>
  </si>
  <si>
    <t>FUNC-LS6</t>
  </si>
  <si>
    <t>FUNC-LS7</t>
  </si>
  <si>
    <t>FUNC-LS8</t>
  </si>
  <si>
    <t>FUNC-LS9</t>
  </si>
  <si>
    <t>FUNC-TVT5</t>
  </si>
  <si>
    <t>FUNC-TVT6</t>
  </si>
  <si>
    <t>FUNC-TVT7</t>
  </si>
  <si>
    <t>FUNC-TVT8</t>
  </si>
  <si>
    <t>FUNC-TVT9</t>
  </si>
  <si>
    <t>[Kiểm tra] Button</t>
  </si>
  <si>
    <t>[Flashcard chính] Card</t>
  </si>
  <si>
    <t>[Đánh dấu sao] Button</t>
  </si>
  <si>
    <t>[Điều hướng thẻ] Button</t>
  </si>
  <si>
    <t>[Ô nhập mặt trước] Input</t>
  </si>
  <si>
    <t>[Ô nhập mặt sau] Textarea</t>
  </si>
  <si>
    <t>[Lưu thẻ vào kho] Button</t>
  </si>
  <si>
    <t>[Dòng thẻ chi tiết] Item</t>
  </si>
  <si>
    <t>GUI_SHOW Trang Chi tiết thư mục</t>
  </si>
  <si>
    <t>GUI-CTTM1</t>
  </si>
  <si>
    <t>GUI-CTTM2</t>
  </si>
  <si>
    <t>GUI-CTTM3</t>
  </si>
  <si>
    <t>GUI-CTTM4</t>
  </si>
  <si>
    <t>GUI-CTTM5</t>
  </si>
  <si>
    <t>GUI-CTTM6</t>
  </si>
  <si>
    <t>GUI-CTTM7</t>
  </si>
  <si>
    <t>GUI-CTTM8</t>
  </si>
  <si>
    <t>GUI-CTTM9</t>
  </si>
  <si>
    <t>- Icon: Star 
- Màu: Yellow (selected) / Gray (default)</t>
  </si>
  <si>
    <t xml:space="preserve">- Text: Black (Bold, Center) 
- Subtext: Gray 
- Border: black </t>
  </si>
  <si>
    <t>- Text: Black 
- Placeholder: Gray 
- Border: black</t>
  </si>
  <si>
    <t>- Text: Black 
- Icon: Star / Edit / Trash 
- Border: black</t>
  </si>
  <si>
    <t>- Text: black
- Icon: Arrow left
- Border: black
- Status: enable</t>
  </si>
  <si>
    <t>- Text: White 
- Background: Green 
- Icon: Lightning 
- Border: black 
- Status: Enable</t>
  </si>
  <si>
    <t>- Icon: Arrow left / right 
- Text: Black 
- Status: Enable / Disable</t>
  </si>
  <si>
    <t>- Text: White 
- Background: Green 
- Border: black 
- Status: Enable</t>
  </si>
  <si>
    <t>FUNCTION_SHOW Trang chi tiết thư mục</t>
  </si>
  <si>
    <t>[Cập nhật ngay] Button</t>
  </si>
  <si>
    <t>[x] Button</t>
  </si>
  <si>
    <t>-Text: white
-Status: hover: enable 
-Border: black</t>
  </si>
  <si>
    <t>[Ô nhập mặt sau] Input</t>
  </si>
  <si>
    <t>Sử dụng flashcard</t>
  </si>
  <si>
    <t>Thêm flashcard</t>
  </si>
  <si>
    <t>Thêm flashcard (thiếu dữ liệu)</t>
  </si>
  <si>
    <t>Sửa flashcard</t>
  </si>
  <si>
    <t>Sửa flashcard (dữ liệu rỗng)</t>
  </si>
  <si>
    <t>Hủy chỉnh sửa</t>
  </si>
  <si>
    <t>Xóa flashcard</t>
  </si>
  <si>
    <t>Điều hướng màn hình</t>
  </si>
  <si>
    <t>Nhập dữ liệu đặc biệt</t>
  </si>
  <si>
    <t>Đã có ít nhất 1 flashcard</t>
  </si>
  <si>
    <t>Đang ở màn hình Flashcard</t>
  </si>
  <si>
    <t>Đã có flashcard trong danh sách</t>
  </si>
  <si>
    <t>Đã có flashcard</t>
  </si>
  <si>
    <t>Đang mở form sửa</t>
  </si>
  <si>
    <t>1. Mở màn hình 
2. Click [Flashcard chính] 
3. Nhấn điều hướng trái/phải 
4. Click [Đánh dấu sao]</t>
  </si>
  <si>
    <t>1. Nhập [Mặt trước] 
2. Nhập [Mặt sau] 
3. Click [Lưu thẻ vào kho]</t>
  </si>
  <si>
    <t>1. Click [Sửa] 
2. Chỉnh nội dung 
3. Click [Cập nhật ngay]</t>
  </si>
  <si>
    <t>1. Click [Sửa] 
2. Xóa nội dung 
3. Click cập nhật</t>
  </si>
  <si>
    <t>1. Click [Sửa] 
2. Click [x]</t>
  </si>
  <si>
    <t>1. Click [Xóa] 
2. Xác nhận</t>
  </si>
  <si>
    <t>1. Click [Quay lại] 
2. Click [Kiểm tra]</t>
  </si>
  <si>
    <t>1. Nhập ký tự đặc biệt / chuỗi dài 
2. Click lưu</t>
  </si>
  <si>
    <t>FUNC-CTTM1</t>
  </si>
  <si>
    <t>FUNC-CTTM2</t>
  </si>
  <si>
    <t>FUNC-CTTM3</t>
  </si>
  <si>
    <t>FUNC-CTTM4</t>
  </si>
  <si>
    <t>FUNC-CTTM5</t>
  </si>
  <si>
    <t>FUNC-CTTM6</t>
  </si>
  <si>
    <t>FUNC-CTTM7</t>
  </si>
  <si>
    <t>FUNC-CTTM8</t>
  </si>
  <si>
    <t>FUNC-CTTM9</t>
  </si>
  <si>
    <t>Chuyển màn thành công</t>
  </si>
  <si>
    <t>Không lỗi hệ thống
Xử lý đúng</t>
  </si>
  <si>
    <t>Thẻ bị xóa</t>
  </si>
  <si>
    <t>Đóng form 
Dữ liệu giữ nguyên</t>
  </si>
  <si>
    <t>Không cho cập nhật 
Báo lỗi</t>
  </si>
  <si>
    <t>Dữ liệu được cập nhật</t>
  </si>
  <si>
    <t>Không cho lưu 
Hiển thị lỗi</t>
  </si>
  <si>
    <t>Lưu thành công 
Hiển thị trong danh sách</t>
  </si>
  <si>
    <t>thẻ Hiển thị đúng
Lật thẻ thành công
Điều hướng đúng
Star đổi màu</t>
  </si>
  <si>
    <t>Lưu thành công 
thông báo "Đã tạo thẻ Flashcard mới."
 Hiển thị trong danh sách</t>
  </si>
  <si>
    <t>Dữ liệu được cập nhật
thông báo "Đã cập nhật thẻ!
"</t>
  </si>
  <si>
    <t>Không cho lưu 
thông báo "Nhập đủ 2 mặt của thẻ!"</t>
  </si>
  <si>
    <t>Không cho cập nhật 
Báo lỗi "Nhập đủ 2 mặt nhé!"</t>
  </si>
  <si>
    <t>Thẻ bị xóa
thông báo "Đã xóa thẻ!"</t>
  </si>
  <si>
    <t>[Bộ đếm thời gian] Badge</t>
  </si>
  <si>
    <t>[Tiến độ câu hỏi] Badge</t>
  </si>
  <si>
    <t>[Khung câu hỏi] Panel</t>
  </si>
  <si>
    <t>[Đáp án A] Button (Selected)</t>
  </si>
  <si>
    <t>- Text: Black 
- Icon: Arrow left 
- Border: Black 
- Shape: Circle / Rounded Square 
- Trạng thái: Enable</t>
  </si>
  <si>
    <t>- Text: White 
- Background: Dark Green 
- Icon: Clock</t>
  </si>
  <si>
    <t>- Text: Black 
- Background: White 
- Border: Black</t>
  </si>
  <si>
    <t>- Text: Blue
-Dark (Bold, Center) 
- Label: Black 
- Border: Black 
- Shadow: Dày</t>
  </si>
  <si>
    <t>- Text: White (Bold) 
- Background: Green 
- Border: Black</t>
  </si>
  <si>
    <t>GUI-KT1</t>
  </si>
  <si>
    <t>GUI-KT2</t>
  </si>
  <si>
    <t>GUI-KT3</t>
  </si>
  <si>
    <t>GUI-KT4</t>
  </si>
  <si>
    <t>GUI-KT5</t>
  </si>
  <si>
    <t>GUI-KT6</t>
  </si>
  <si>
    <t>GUI-KT7</t>
  </si>
  <si>
    <t>GUI-KT8</t>
  </si>
  <si>
    <t>GUI-KT9</t>
  </si>
  <si>
    <t>GUI-KT10</t>
  </si>
  <si>
    <t>GUI_SHOW Trang Kiểm tra</t>
  </si>
  <si>
    <t>FUNCTION_SHOW Trang Kiểm tra</t>
  </si>
  <si>
    <t>Chi tiết thư mục</t>
  </si>
  <si>
    <t>GUI-CTTM10</t>
  </si>
  <si>
    <t>GUI-CTTM11</t>
  </si>
  <si>
    <t>GUI-CTTM12</t>
  </si>
  <si>
    <t>GUI-CTTM13</t>
  </si>
  <si>
    <t>GUI-CTTM14</t>
  </si>
  <si>
    <t>GUI-CTTM15</t>
  </si>
  <si>
    <t>Vào màn làm bài</t>
  </si>
  <si>
    <t>Người dùng đã chọn bộ câu hỏi</t>
  </si>
  <si>
    <t>1. Mở màn hình làm bài</t>
  </si>
  <si>
    <t>Làm bài cơ bản</t>
  </si>
  <si>
    <t>Theo dõi thời gian</t>
  </si>
  <si>
    <t>Bài đang chạy</t>
  </si>
  <si>
    <t>1. Quan sát timer</t>
  </si>
  <si>
    <t>Xem tiến độ làm bài</t>
  </si>
  <si>
    <t>Đang làm bài</t>
  </si>
  <si>
    <t>1. Quan sát badge tiến độ</t>
  </si>
  <si>
    <t>Có câu hỏi</t>
  </si>
  <si>
    <t>Làm hết bài</t>
  </si>
  <si>
    <t>Có nhiều câu</t>
  </si>
  <si>
    <t>1. Trả lời tất cả câu</t>
  </si>
  <si>
    <t>Quay lại khi đang làm bài</t>
  </si>
  <si>
    <t>1. Click [Quay lại]</t>
  </si>
  <si>
    <t>Làm bài với dữ liệu bất thường</t>
  </si>
  <si>
    <t>1. Nhập/chọn liên tục nhanh</t>
  </si>
  <si>
    <t>Hiển thị "Bạn có chắc chắn muốn quay lại?"</t>
  </si>
  <si>
    <t>Hiển thị đầy đủ: Quay lại, Timer, Tiến độ, Câu hỏi, Đáp án</t>
  </si>
  <si>
    <t>Thời gian giảm đúng từng giây</t>
  </si>
  <si>
    <t xml:space="preserve"> Không lỗi 
Không chọn nhiều đáp án</t>
  </si>
  <si>
    <t>Hiển thị đúng dạng x / tổng</t>
  </si>
  <si>
    <t>Tiến độ đạt 100%
Hiển thị bảng kết quả với số % làm đúng</t>
  </si>
  <si>
    <t xml:space="preserve">1. Quan sát câu hỏi 
2. Chọn 1 đáp án 
</t>
  </si>
  <si>
    <t>Có ít nhất 4 câu hỏi</t>
  </si>
  <si>
    <t>Hiển thị đúng câu hỏi
Chọn được 1 đáp án
Tiến độ tăng
Tự động sang câu tiếp</t>
  </si>
  <si>
    <t>Làm bài mà bài không có đủ 4 câu hỏi</t>
  </si>
  <si>
    <t>Báo lỗi "Folder phải có ít nhất 4 thẻ"</t>
  </si>
  <si>
    <t>Vẫn hiển thị trang làm bài nhưng lỗi dữ liệu</t>
  </si>
  <si>
    <t>Có tồn tại folder</t>
  </si>
  <si>
    <t>[Bảng kết quả] Text</t>
  </si>
  <si>
    <t>[Xem lại đáp án] Button</t>
  </si>
  <si>
    <t>[Hoàn tất] Button</t>
  </si>
  <si>
    <t>- Text: black (Bold) 
- Background: yellow
- Border: Black</t>
  </si>
  <si>
    <t>FUNC-KT1</t>
  </si>
  <si>
    <t>FUNC-KT2</t>
  </si>
  <si>
    <t>FUNC-KT3</t>
  </si>
  <si>
    <t>FUNC-KT4</t>
  </si>
  <si>
    <t>FUNC-KT5</t>
  </si>
  <si>
    <t>FUNC-KT6</t>
  </si>
  <si>
    <t>FUNC-KT7</t>
  </si>
  <si>
    <t>FUNC-KT8</t>
  </si>
  <si>
    <t>GUI-KT11</t>
  </si>
  <si>
    <t>GUI-KT12</t>
  </si>
  <si>
    <t>GUI-KT13</t>
  </si>
  <si>
    <t>GUI-KT14</t>
  </si>
  <si>
    <t>Xem lại đáp án sau khi hoàn thành bài kiểm tra</t>
  </si>
  <si>
    <t>1. Hoàn thành bài kiểm tra
2. Nhấn xem lại đáp án</t>
  </si>
  <si>
    <t>Có bài kiểm tra hợp lệ</t>
  </si>
  <si>
    <t>Hiển thị bảng Xem lại bài làm chi tiết đáp án được chọn, đáp án đúng, đáp án sai</t>
  </si>
  <si>
    <t>quay về màn hình trước ngay</t>
  </si>
  <si>
    <t>FUNC-KT9</t>
  </si>
  <si>
    <t>1. Nhập thiếu 1 trường 
2. Click lưu</t>
  </si>
  <si>
    <t>20/4/2026</t>
  </si>
  <si>
    <t>15/4/2026</t>
  </si>
  <si>
    <t>Ghi chú không bị xóa, danh sách giữ nguyên</t>
  </si>
  <si>
    <t>1. Đăng nhập 2. Vào “Kho ghi chú”           3. Chọn ghi chú cần xóa           4. Click icon “Xóa”            5. Click “Cancel” trong popup xác nhận</t>
  </si>
  <si>
    <t>Kiểm tra hủy xóa ghi chú</t>
  </si>
  <si>
    <t>FUNC-TKHT16</t>
  </si>
  <si>
    <t>Hiển thị thông báo lỗi “Không thể xóa ghi chú này”</t>
  </si>
  <si>
    <t>Đăng nhập thành công vào hệ thống</t>
  </si>
  <si>
    <t>1. Đăng nhập 2. Vào “Quản lý thể loại”     3. Click icon “Xóa” bên cạnh loại cần xóa                 4. Click “OK” trong popup xác nhận</t>
  </si>
  <si>
    <t>Kiểm tra xóa thể loại</t>
  </si>
  <si>
    <t>FUNC-TKHT15</t>
  </si>
  <si>
    <t>Hiển thị thông báo lỗi “Vui lòng nhập tên loại”</t>
  </si>
  <si>
    <t>1. Đăng nhập 2. Vào “Quản lý thể loại"     3. Click icon “Sửa”             4. Xóa hết tên loại, không nhập mới        5. Click nút xác nhận</t>
  </si>
  <si>
    <t>Kiểm tra chỉnh sửa không nhập tên</t>
  </si>
  <si>
    <t>FUNC-TKHT14</t>
  </si>
  <si>
    <t>Thể loại được cập nhật đúng với tên và màu mới</t>
  </si>
  <si>
    <t>1. Đăng nhập 2. Vào “Quản lý thể loại”      3. Click icon “Sửa” bên cạnh loại cần chỉnh sửa              4. Nhập tên mới 5. Chọn màu mới                   6. Click nút xác nhận</t>
  </si>
  <si>
    <t>Kiểm tra chỉnh sửa thể loại</t>
  </si>
  <si>
    <t>FUNC-TKHT13</t>
  </si>
  <si>
    <t>1. Mở giao diện                             2. Không nhập tên loại           3. Click nút “+”</t>
  </si>
  <si>
    <t>Kiểm tra thêm loại không nhập tên</t>
  </si>
  <si>
    <t>FUNC-TKHT12</t>
  </si>
  <si>
    <t>Thể loại mới được thêm vào danh sách, hiển thị thông báo “Thành công”</t>
  </si>
  <si>
    <t>1. Mở giao diện                  2. Nhập tên loại hợp lệ             3. Click nút “+”</t>
  </si>
  <si>
    <t>Kiểm tra thêm loại hợp lệ</t>
  </si>
  <si>
    <t>FUNC-TKHT11</t>
  </si>
  <si>
    <t>Textbox nhận dữ liệu, hiển thị với tiêu đề đã nhập</t>
  </si>
  <si>
    <t>1. Mở giao diện                      2. Nhập tên loại vào ô “TÊN LOẠI”</t>
  </si>
  <si>
    <t>Kiểm tra textbox nhập tên loại</t>
  </si>
  <si>
    <t>FUNC-TKHT10</t>
  </si>
  <si>
    <t>Hiển thị giao diện “QUẢN LÝ THỂ LOẠI”</t>
  </si>
  <si>
    <t>1. Đăng nhập 2. Click “Thể loại”</t>
  </si>
  <si>
    <t>Kiểm tra mở giao diện “Quản lý thể loại”</t>
  </si>
  <si>
    <t>FUNC-TKHT09</t>
  </si>
  <si>
    <t>Popup đóng, quay lại giao diện ghi chú</t>
  </si>
  <si>
    <t>1. Mở popup 2. Click nút “X”</t>
  </si>
  <si>
    <t>Kiểm tra đóng popup</t>
  </si>
  <si>
    <t>FUNC-TKHT08</t>
  </si>
  <si>
    <t>Hiển thị thông báo lỗi “Please fill out this field”</t>
  </si>
  <si>
    <t>1. Mở popup 2. Nhập tiêu đề                            3. Không nhập nội dung            4. Click “Tạo ghi chú</t>
  </si>
  <si>
    <t>Kiểm tra tạo ghi chú không nhập nội dung</t>
  </si>
  <si>
    <t>1. Mở popup 2. Không nhập tiêu đề              3. Nhập nội dung               4. Click “Tạo ghi chú”</t>
  </si>
  <si>
    <t>Kiểm tra tạo ghi chú không nhập tiêu đề</t>
  </si>
  <si>
    <t>1. Mở popup 2. Nhập tiêu đề với số "123"</t>
  </si>
  <si>
    <t xml:space="preserve">Kiểm tra nhập tiêu đề với số </t>
  </si>
  <si>
    <t>1. Mở popup 2. Nhập tiêu đề với ký tự đặc biệt</t>
  </si>
  <si>
    <t>Kiểm tra nhập tiêu đề với kí tự đặc biệt</t>
  </si>
  <si>
    <t>1. Mở popup 2. Nhập tiêu đề “Làm bài tập”</t>
  </si>
  <si>
    <t>Kiểm tra nhập tiêu đề hợp lệ</t>
  </si>
  <si>
    <t>Dropdown hiển thị và chọn được loại</t>
  </si>
  <si>
    <t>1. Mở popup 2. Click dropdown “Phân loại”      3. Chọn “Học tập”</t>
  </si>
  <si>
    <t>Kiểm tra chọn phân loại</t>
  </si>
  <si>
    <t>Hiển thị popup “GHI CHÚ MỚI”</t>
  </si>
  <si>
    <t>1. Đăng nhập 2. Click “+ Tạo mới”</t>
  </si>
  <si>
    <t>Kiểm tra mở popup “Ghi chú mới”</t>
  </si>
  <si>
    <t>FUNCTION_SHOW Quản Lý ghi chú cá nhân</t>
  </si>
  <si>
    <t>Button: green                               Status: enable                           Click responsive</t>
  </si>
  <si>
    <t>Button: green        Status: enable      Click responsive</t>
  </si>
  <si>
    <t>[Button] Đóng popup</t>
  </si>
  <si>
    <t>GUI-CBAI21</t>
  </si>
  <si>
    <t>[Button] “TẠO GHI CHÚ”</t>
  </si>
  <si>
    <t>GUI-CBAI20</t>
  </si>
  <si>
    <t>Textbox: enable                        Text color black</t>
  </si>
  <si>
    <t>Textbox: enable    Text color black</t>
  </si>
  <si>
    <t>[Textbox] “NỘI DUNG”</t>
  </si>
  <si>
    <t>GUI-CBAI19</t>
  </si>
  <si>
    <t>Label: white                                Status: enable</t>
  </si>
  <si>
    <t>Label: white      Status: enable</t>
  </si>
  <si>
    <t>[Label] “GHI CHÚ MỚI”</t>
  </si>
  <si>
    <t>Icon: enable                             Click responsive</t>
  </si>
  <si>
    <t>Icon: enable                 Click responsive</t>
  </si>
  <si>
    <t>[Icon] Chỉnh sửa loại</t>
  </si>
  <si>
    <t>GUI-CBAI17</t>
  </si>
  <si>
    <t>Button: green                         Status: enable                               Click responsive</t>
  </si>
  <si>
    <t>[Button] “+” (Thêm loại)</t>
  </si>
  <si>
    <t>GUI-CBAI16</t>
  </si>
  <si>
    <t>Textbox: enable                             Text color black</t>
  </si>
  <si>
    <t>[Textbox] “TÊN LOẠI…”</t>
  </si>
  <si>
    <t>GUI-CBAI15</t>
  </si>
  <si>
    <t>Label: white                           Status: enable</t>
  </si>
  <si>
    <t>[Label] “QUẢN LÝ THỂ LOẠI”</t>
  </si>
  <si>
    <t>GUI-CBAI14</t>
  </si>
  <si>
    <t>[Button] “ĐĂNG XUẤT”</t>
  </si>
  <si>
    <t>GUI-CBAI13</t>
  </si>
  <si>
    <t>Card: blue                             Status: enable</t>
  </si>
  <si>
    <t>Card: blue             Status: enable</t>
  </si>
  <si>
    <t>[Card] “CÔNG VIỆC”</t>
  </si>
  <si>
    <t>GUI-CBAI12</t>
  </si>
  <si>
    <t>[Card] “CÁ NHÂN”</t>
  </si>
  <si>
    <t>GUI-CBAI11</t>
  </si>
  <si>
    <t>[Card] “HỌC TẬP”</t>
  </si>
  <si>
    <t>GUI-CBAI10</t>
  </si>
  <si>
    <t>Icon: enable                               Click responsive</t>
  </si>
  <si>
    <t>Icon: enable              Click responsive</t>
  </si>
  <si>
    <t>[Icon] Xóa ghi chú</t>
  </si>
  <si>
    <t>GUI-CBAI09</t>
  </si>
  <si>
    <t>[Icon] Sửa ghi chú</t>
  </si>
  <si>
    <t>GUI-CBAI08</t>
  </si>
  <si>
    <t>Button: green                       Status: enable                           Click responsive</t>
  </si>
  <si>
    <t>[Button] “LƯU”</t>
  </si>
  <si>
    <t>GUI-CBAI07</t>
  </si>
  <si>
    <t>[Textbox] “Nội dung ghi chú”</t>
  </si>
  <si>
    <t>GUI-CBAI06</t>
  </si>
  <si>
    <t>[Textbox] “Tiêu đề ghi chú”</t>
  </si>
  <si>
    <t>GUI-CBAI05</t>
  </si>
  <si>
    <t>[Icon] Lọc ghi chú</t>
  </si>
  <si>
    <t>Button: white                            Status: enable                          Click responsive</t>
  </si>
  <si>
    <t>Button: white  Status: enable           Click responsive</t>
  </si>
  <si>
    <t>[Button] “THỂ LOẠI”</t>
  </si>
  <si>
    <t>Button: green                       Status: enable                          Click responsive</t>
  </si>
  <si>
    <t>[Button] “+ TẠO MỚI”</t>
  </si>
  <si>
    <t xml:space="preserve"> Label : white
 Status : enable</t>
  </si>
  <si>
    <t xml:space="preserve"> Label: white
Status: enable</t>
  </si>
  <si>
    <t>[Label] “KHO GHI CHÚ”</t>
  </si>
  <si>
    <t>GUI_SHOW Quản lý ghi chú cá nhân</t>
  </si>
  <si>
    <t>Tổng lần kiểm tra</t>
  </si>
  <si>
    <t>Bị chặn</t>
  </si>
  <si>
    <t xml:space="preserve">Quản lý ghi chú cá nhân </t>
  </si>
  <si>
    <t xml:space="preserve">HỆ THỐNG THÔNG MINH HỖ TRỢ QUẢN LÝ VÀ TỐI ƯU HÓA LỘ TRÌNH HỌC TẬP CÁ NHÂN </t>
  </si>
  <si>
    <t>Hiển thị tài liệu cần xem</t>
  </si>
  <si>
    <t xml:space="preserve">  1. Đăng nhập                               2. Click nút xem tài liệu</t>
  </si>
  <si>
    <t>Kiểm tra nút xem tài liệu</t>
  </si>
  <si>
    <t>Tải xuống tài liệu thành công</t>
  </si>
  <si>
    <t xml:space="preserve">  1. Đăng nhập                              2. Click nút tải về tài liệu            3.Xác nhận cho phép tải tài liệu về máy</t>
  </si>
  <si>
    <t>Kiểm tra nút tải về tài liệu</t>
  </si>
  <si>
    <t>Xóa tài liệu thành công</t>
  </si>
  <si>
    <t xml:space="preserve">  1. Đăng nhập                         2. Click vào nút xóa tài liệu </t>
  </si>
  <si>
    <t>Kiểm tra nút xóa tài liệu</t>
  </si>
  <si>
    <t>Pop-up đóng, quay lại giao diện tài liệu</t>
  </si>
  <si>
    <t xml:space="preserve">  1. Đăng nhập và click và tải lên tài liệu mới                      2. Click nút “X”</t>
  </si>
  <si>
    <t>Kiểm tra đóng cửa sổ upload</t>
  </si>
  <si>
    <t>Không thể nhập tên file</t>
  </si>
  <si>
    <t xml:space="preserve">  1. Đăng nhập và click và tải lên tài liệu mới                            2.  Nhập tên file                   3. Click “Lưu”</t>
  </si>
  <si>
    <t>Kiểm tra upload nhập tên file</t>
  </si>
  <si>
    <t>Hiển thị thông báo yêu cầu chọn file</t>
  </si>
  <si>
    <t xml:space="preserve">  1. Đăng nhập và click và tải lên tài liệu mới                           2. Không chọn file                    3. Click “Lưu”</t>
  </si>
  <si>
    <t>Kiểm tra upload không chọn file</t>
  </si>
  <si>
    <t>Hiển thị thông báo lỗi</t>
  </si>
  <si>
    <t xml:space="preserve">  1. Đăng nhập                2. Chọn file không đúng định dạng              3. ưu vào hệ thống”</t>
  </si>
  <si>
    <t>Kiểm tra upload sai định dạng</t>
  </si>
  <si>
    <t>File được lưu vào kho tài liệu số</t>
  </si>
  <si>
    <t xml:space="preserve">  1. Đăng nhập và click và tải lên tài liệu mới             2. Nhập tên file                3. Chọn file hợp lệ           4. Click “Lưu vào hệ thống”</t>
  </si>
  <si>
    <t>Kiểm tra lưu tài liệu hợp lệ</t>
  </si>
  <si>
    <t>Hiển thị label “PDF AND FILES”</t>
  </si>
  <si>
    <t>1. Đăng nhập          2. Click “+ Tải tài liệu mới”</t>
  </si>
  <si>
    <t>Kiểm tra hiển thị định dạng cho phép</t>
  </si>
  <si>
    <t>Hiển thị tên file đã chọn</t>
  </si>
  <si>
    <t xml:space="preserve">1. Đăng nhập           2 .  Click “+ Tải tài liệu mới”           3. Click “+ Tải tài liệu mới” ,click “Choose File”           4.Chọn file hợp lệ     </t>
  </si>
  <si>
    <t>Kiểm tra chọn file từ thiết bị</t>
  </si>
  <si>
    <t>Tên file hiển thị trong textbox</t>
  </si>
  <si>
    <t xml:space="preserve">1. Đăng nhập          2. Click “+ Tải tài liệu mới”           3. Nhập tên file vào ô “Tên tài liệu”      </t>
  </si>
  <si>
    <t>Kiểm tra nhập tên tài liệu</t>
  </si>
  <si>
    <t>Hiển thị pop-up “TẢI TÀI LIỆU LÊN”</t>
  </si>
  <si>
    <t>1. Đăng nhập 2. Click “+ Tải tài liệu mới”</t>
  </si>
  <si>
    <t>Kiểm tra mở cửa sổ tai lên tài liệu mới</t>
  </si>
  <si>
    <t>Hiển thị lịch học tuần hiện tại</t>
  </si>
  <si>
    <t>1. Đăng nhập 2. Click “Thời gian biểu”</t>
  </si>
  <si>
    <t>Kiểm tra xem thời khóa biểu</t>
  </si>
  <si>
    <t>1. Nhập tài khoản và mật khẩu                2. Click “Đăng nhập”</t>
  </si>
  <si>
    <t>Kiểm tra đăng nhập hệ thống</t>
  </si>
  <si>
    <t>FUNCTION_SHOW Quản Lý Tài Liệu Học Tập</t>
  </si>
  <si>
    <t>Label: black                       Status: enable</t>
  </si>
  <si>
    <t>Label: black Status: enable</t>
  </si>
  <si>
    <t>[Header] “THAO TÁC”</t>
  </si>
  <si>
    <t>[Header] “DUNG LƯỢNG”</t>
  </si>
  <si>
    <t>[Header] “ĐỊNH DẠNG”</t>
  </si>
  <si>
    <t>[Header] “TÀI LIỆU HỌC TẬP”</t>
  </si>
  <si>
    <t>Text color : black
 Status : enable</t>
  </si>
  <si>
    <t>[Textbox] “No file chosen”</t>
  </si>
  <si>
    <t>Button: green
Status: enable
Click responsive</t>
  </si>
  <si>
    <t>[Button] “LƯU VÀO HỆ THỐNG”</t>
  </si>
  <si>
    <t>Label : black
 Status : enable</t>
  </si>
  <si>
    <t>[Label] “PDF AND FILES”</t>
  </si>
  <si>
    <t>Button: green                  Status: enable
Click responsive</t>
  </si>
  <si>
    <t>Button: green Status: enable
Click responsive</t>
  </si>
  <si>
    <t>[Button] “CHOOSE FILE”</t>
  </si>
  <si>
    <t>Textbox: enable</t>
  </si>
  <si>
    <t>[Textbox] “TÊN TÀI LIỆU”</t>
  </si>
  <si>
    <t>Label: white                                             Status: enable                                          Click responsive</t>
  </si>
  <si>
    <t>Label: white Status: enable Click responsive</t>
  </si>
  <si>
    <t>[Sidebar] “Tài liệu”</t>
  </si>
  <si>
    <t>Icon: enable                                         Click responsive</t>
  </si>
  <si>
    <t>Icon: enable Click responsive</t>
  </si>
  <si>
    <t>[Icon] Xóa tài liệu</t>
  </si>
  <si>
    <t>[Icon] Tải xuống</t>
  </si>
  <si>
    <t>[Icon] Xem tài liệu</t>
  </si>
  <si>
    <t>Button: green                                        Status: enable
Click responsive</t>
  </si>
  <si>
    <t>[Button] “+ TẢI TÀI LIỆU MỚI”</t>
  </si>
  <si>
    <t>[Label] “KHO TÀI LIỆU SỐ”</t>
  </si>
  <si>
    <t>GUI_SHOW Quản lý tài liệu học tập</t>
  </si>
  <si>
    <t>GUI-CBAI18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</si>
</sst>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1">
    <font>
      <sz val="11"/>
      <color theme="1"/>
      <name val="Calibri"/>
      <family val="2"/>
      <scheme val="minor"/>
    </font>
    <font>
      <sz val="11"/>
      <name val="ＭＳ Ｐゴシック"/>
      <family val="2"/>
    </font>
    <font>
      <sz val="13"/>
      <name val="Times New Roman"/>
      <family val="1"/>
    </font>
    <font>
      <b/>
      <sz val="13"/>
      <name val="Times New Roman"/>
      <family val="1"/>
    </font>
    <font>
      <sz val="13"/>
      <color theme="1"/>
      <name val="Times New Roman"/>
      <family val="1"/>
    </font>
    <font>
      <b/>
      <sz val="24"/>
      <name val="Times New Roman"/>
      <family val="1"/>
    </font>
    <font>
      <b/>
      <sz val="13"/>
      <color theme="1"/>
      <name val="Times New Roman"/>
      <family val="1"/>
    </font>
    <font>
      <sz val="13"/>
      <color rgb="FF000000"/>
      <name val="Times New Roman"/>
      <family val="1"/>
    </font>
    <font>
      <sz val="8"/>
      <name val="Calibri"/>
      <family val="2"/>
      <scheme val="minor"/>
    </font>
    <font>
      <sz val="13"/>
      <color rgb="FF00000A"/>
      <name val="Times New Roman"/>
      <family val="1"/>
    </font>
    <font>
      <sz val="13"/>
      <color indexed="8"/>
      <name val="Times New Roman"/>
      <family val="1"/>
    </font>
    <font>
      <b/>
      <sz val="13"/>
      <color indexed="9"/>
      <name val="Times New Roman"/>
      <family val="1"/>
    </font>
    <font>
      <sz val="13"/>
      <color indexed="63"/>
      <name val="Times New Roman"/>
      <family val="1"/>
    </font>
    <font>
      <sz val="10"/>
      <name val="Arial2"/>
    </font>
    <font>
      <b/>
      <sz val="13"/>
      <color rgb="FFFFFFFF"/>
      <name val="Times New Roman"/>
      <family val="1"/>
    </font>
    <font>
      <sz val="13"/>
      <color rgb="FF1F1F1F"/>
      <name val="Times New Roman"/>
      <family val="1"/>
    </font>
    <font>
      <sz val="13"/>
      <color rgb="FFC00000"/>
      <name val="Times New Roman"/>
      <family val="1"/>
    </font>
    <font>
      <sz val="13"/>
      <color theme="1"/>
      <name val="Time new ronamd"/>
    </font>
    <font>
      <sz val="13"/>
      <color theme="1"/>
      <name val=" times new romand"/>
    </font>
    <font>
      <sz val="13"/>
      <color theme="1"/>
      <name val="Time new romand"/>
    </font>
    <font>
      <b/>
      <sz val="13"/>
      <color theme="0"/>
      <name val="Times New Roman"/>
      <family val="1"/>
    </font>
  </fonts>
  <fills count="11">
    <fill>
      <patternFill patternType="none"/>
    </fill>
    <fill>
      <patternFill patternType="gray125"/>
    </fill>
    <fill>
      <patternFill patternType="solid">
        <fgColor rgb="FF008080"/>
        <bgColor rgb="FF008080"/>
      </patternFill>
    </fill>
    <fill>
      <patternFill patternType="solid">
        <fgColor theme="8" tint="0.59999389629810485"/>
        <bgColor indexed="38"/>
      </patternFill>
    </fill>
    <fill>
      <patternFill patternType="solid">
        <fgColor indexed="9"/>
        <bgColor indexed="26"/>
      </patternFill>
    </fill>
    <fill>
      <patternFill patternType="solid">
        <fgColor indexed="27"/>
        <bgColor indexed="41"/>
      </patternFill>
    </fill>
    <fill>
      <patternFill patternType="solid">
        <fgColor theme="0"/>
        <bgColor indexed="38"/>
      </patternFill>
    </fill>
    <fill>
      <patternFill patternType="solid">
        <fgColor theme="0"/>
        <bgColor indexed="64"/>
      </patternFill>
    </fill>
    <fill>
      <patternFill patternType="solid">
        <fgColor rgb="FFFFFFFF"/>
        <bgColor indexed="64"/>
      </patternFill>
    </fill>
    <fill>
      <patternFill patternType="solid">
        <fgColor indexed="21"/>
        <bgColor indexed="38"/>
      </patternFill>
    </fill>
    <fill>
      <patternFill patternType="solid">
        <fgColor rgb="FFFF0000"/>
        <bgColor rgb="FFFFFFFF"/>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1" fillId="0" borderId="0"/>
    <xf numFmtId="0" fontId="13" fillId="0" borderId="0" applyBorder="0" applyProtection="0">
      <alignment vertical="center"/>
    </xf>
  </cellStyleXfs>
  <cellXfs count="112">
    <xf numFmtId="0" fontId="0" fillId="0" borderId="0" xfId="0"/>
    <xf numFmtId="0" fontId="4" fillId="0" borderId="4" xfId="0" applyFont="1" applyBorder="1" applyAlignment="1">
      <alignment horizontal="left" vertical="top" wrapText="1"/>
    </xf>
    <xf numFmtId="0" fontId="4" fillId="0" borderId="4" xfId="0" applyFont="1" applyBorder="1"/>
    <xf numFmtId="0" fontId="4" fillId="0" borderId="0" xfId="0" applyFont="1"/>
    <xf numFmtId="0" fontId="4" fillId="0" borderId="4"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wrapText="1"/>
    </xf>
    <xf numFmtId="0" fontId="4" fillId="0" borderId="0" xfId="0" applyFont="1" applyAlignment="1">
      <alignment horizontal="left"/>
    </xf>
    <xf numFmtId="0" fontId="4" fillId="0" borderId="0" xfId="0" applyFont="1" applyAlignment="1">
      <alignment horizontal="left" vertical="center"/>
    </xf>
    <xf numFmtId="0" fontId="6" fillId="6"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7" fillId="0" borderId="4" xfId="0" applyFont="1" applyBorder="1" applyAlignment="1">
      <alignment horizontal="justify" vertical="center" wrapText="1"/>
    </xf>
    <xf numFmtId="0" fontId="2" fillId="0" borderId="0" xfId="0" applyFont="1" applyAlignment="1">
      <alignment vertical="top"/>
    </xf>
    <xf numFmtId="0" fontId="9" fillId="0" borderId="0" xfId="0" applyFont="1" applyAlignment="1">
      <alignment horizontal="center" vertical="top"/>
    </xf>
    <xf numFmtId="14" fontId="4" fillId="0" borderId="0" xfId="0" applyNumberFormat="1" applyFont="1" applyAlignment="1">
      <alignment vertical="top"/>
    </xf>
    <xf numFmtId="0" fontId="2" fillId="0" borderId="0" xfId="0" applyFont="1" applyAlignment="1">
      <alignment horizontal="center" vertical="top"/>
    </xf>
    <xf numFmtId="0" fontId="2" fillId="0" borderId="0" xfId="0" applyFont="1" applyAlignment="1">
      <alignment horizontal="left" vertical="top" wrapText="1"/>
    </xf>
    <xf numFmtId="0" fontId="2" fillId="4" borderId="0" xfId="0" applyFont="1" applyFill="1" applyAlignment="1">
      <alignment horizontal="left" vertical="top" wrapText="1"/>
    </xf>
    <xf numFmtId="0" fontId="2" fillId="0" borderId="4" xfId="0" applyFont="1" applyBorder="1" applyAlignment="1">
      <alignment vertical="top"/>
    </xf>
    <xf numFmtId="0" fontId="9" fillId="0" borderId="4" xfId="0" applyFont="1" applyBorder="1" applyAlignment="1">
      <alignment horizontal="center" vertical="top"/>
    </xf>
    <xf numFmtId="0" fontId="2" fillId="0" borderId="4" xfId="0" applyFont="1" applyBorder="1" applyAlignment="1">
      <alignment horizontal="center" vertical="top"/>
    </xf>
    <xf numFmtId="0" fontId="2" fillId="0" borderId="4" xfId="0" applyFont="1" applyBorder="1" applyAlignment="1">
      <alignment horizontal="left" vertical="top" wrapText="1"/>
    </xf>
    <xf numFmtId="0" fontId="2" fillId="0" borderId="4" xfId="0" applyFont="1" applyBorder="1" applyAlignment="1">
      <alignment vertical="top" wrapText="1"/>
    </xf>
    <xf numFmtId="0" fontId="4" fillId="4" borderId="4"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0" borderId="0" xfId="0" applyFont="1"/>
    <xf numFmtId="0" fontId="3" fillId="5" borderId="4" xfId="0" applyFont="1" applyFill="1" applyBorder="1" applyAlignment="1">
      <alignment horizontal="left" vertical="center"/>
    </xf>
    <xf numFmtId="14" fontId="7" fillId="0" borderId="4" xfId="0" applyNumberFormat="1" applyFont="1" applyBorder="1" applyAlignment="1">
      <alignment horizontal="center" vertical="top"/>
    </xf>
    <xf numFmtId="0" fontId="10" fillId="4" borderId="4" xfId="0" applyFont="1" applyFill="1" applyBorder="1" applyAlignment="1">
      <alignment horizontal="left" vertical="top" wrapText="1"/>
    </xf>
    <xf numFmtId="0" fontId="2" fillId="4" borderId="4" xfId="1" applyFont="1" applyFill="1" applyBorder="1" applyAlignment="1">
      <alignment horizontal="left" vertical="top" wrapText="1"/>
    </xf>
    <xf numFmtId="0" fontId="3" fillId="5" borderId="4" xfId="0" applyFont="1" applyFill="1" applyBorder="1" applyAlignment="1">
      <alignment vertical="center"/>
    </xf>
    <xf numFmtId="0" fontId="11" fillId="9" borderId="4" xfId="0" applyFont="1" applyFill="1" applyBorder="1" applyAlignment="1">
      <alignment horizontal="center" vertical="center" wrapText="1"/>
    </xf>
    <xf numFmtId="164" fontId="11" fillId="9" borderId="4" xfId="0" applyNumberFormat="1" applyFont="1" applyFill="1" applyBorder="1" applyAlignment="1">
      <alignment horizontal="center" vertical="center" wrapText="1"/>
    </xf>
    <xf numFmtId="0" fontId="11" fillId="9" borderId="4" xfId="0" applyFont="1" applyFill="1" applyBorder="1" applyAlignment="1">
      <alignment horizontal="center" vertical="top" wrapText="1"/>
    </xf>
    <xf numFmtId="164" fontId="2" fillId="0" borderId="0" xfId="0" applyNumberFormat="1" applyFont="1"/>
    <xf numFmtId="0" fontId="12" fillId="0" borderId="0" xfId="0" applyFont="1"/>
    <xf numFmtId="0" fontId="3" fillId="0" borderId="0" xfId="0" applyFont="1"/>
    <xf numFmtId="0" fontId="2" fillId="0" borderId="4" xfId="2" applyFont="1" applyBorder="1" applyAlignment="1" applyProtection="1">
      <alignment horizontal="center" vertical="center" wrapText="1"/>
    </xf>
    <xf numFmtId="0" fontId="2" fillId="0" borderId="4" xfId="0" applyFont="1" applyBorder="1" applyAlignment="1">
      <alignment horizontal="right"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horizontal="left" vertical="center" wrapText="1"/>
    </xf>
    <xf numFmtId="0" fontId="14" fillId="2" borderId="4" xfId="0" applyFont="1" applyFill="1" applyBorder="1" applyAlignment="1">
      <alignment vertical="center" wrapText="1"/>
    </xf>
    <xf numFmtId="0" fontId="2" fillId="0" borderId="4" xfId="0" applyFont="1" applyBorder="1" applyAlignment="1">
      <alignment horizontal="center" vertical="center" wrapText="1"/>
    </xf>
    <xf numFmtId="0" fontId="3" fillId="5" borderId="4" xfId="0" applyFont="1" applyFill="1" applyBorder="1" applyAlignment="1">
      <alignment vertical="center" wrapText="1"/>
    </xf>
    <xf numFmtId="0" fontId="15" fillId="0" borderId="4" xfId="0" applyFont="1" applyBorder="1" applyAlignment="1">
      <alignment horizontal="left" vertical="center" wrapText="1" readingOrder="1"/>
    </xf>
    <xf numFmtId="0" fontId="2" fillId="0" borderId="4" xfId="0" quotePrefix="1" applyFont="1" applyBorder="1" applyAlignment="1">
      <alignment vertical="top" wrapText="1"/>
    </xf>
    <xf numFmtId="0" fontId="16" fillId="10"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2" fillId="0" borderId="4" xfId="0" applyFont="1" applyBorder="1" applyAlignment="1">
      <alignment horizontal="center" vertical="top" wrapText="1"/>
    </xf>
    <xf numFmtId="14" fontId="7" fillId="0" borderId="4" xfId="0" applyNumberFormat="1" applyFont="1" applyBorder="1" applyAlignment="1">
      <alignment horizontal="center" vertical="top" wrapText="1"/>
    </xf>
    <xf numFmtId="0" fontId="9" fillId="0" borderId="4" xfId="0" applyFont="1" applyBorder="1" applyAlignment="1">
      <alignment horizontal="center" vertical="top" wrapText="1"/>
    </xf>
    <xf numFmtId="0" fontId="3" fillId="5" borderId="4" xfId="0" applyFont="1" applyFill="1" applyBorder="1" applyAlignment="1">
      <alignment horizontal="left" vertical="center" wrapText="1"/>
    </xf>
    <xf numFmtId="0" fontId="2" fillId="4" borderId="4" xfId="0" applyFont="1" applyFill="1" applyBorder="1" applyAlignment="1">
      <alignment vertical="top" wrapText="1"/>
    </xf>
    <xf numFmtId="0" fontId="4" fillId="0" borderId="4" xfId="0" applyFont="1" applyBorder="1" applyAlignment="1">
      <alignment vertical="top" wrapText="1"/>
    </xf>
    <xf numFmtId="0" fontId="11" fillId="9" borderId="4" xfId="0" applyFont="1" applyFill="1" applyBorder="1" applyAlignment="1">
      <alignment horizontal="left" vertical="top" wrapText="1"/>
    </xf>
    <xf numFmtId="164" fontId="11" fillId="9" borderId="4" xfId="0" applyNumberFormat="1" applyFont="1" applyFill="1" applyBorder="1" applyAlignment="1">
      <alignment horizontal="left" vertical="top" wrapText="1"/>
    </xf>
    <xf numFmtId="0" fontId="3" fillId="5" borderId="4" xfId="0" applyFont="1" applyFill="1" applyBorder="1" applyAlignment="1">
      <alignment horizontal="left" vertical="top" wrapText="1"/>
    </xf>
    <xf numFmtId="0" fontId="15" fillId="0" borderId="4" xfId="0" applyFont="1" applyBorder="1" applyAlignment="1">
      <alignment horizontal="left" vertical="top" wrapText="1" readingOrder="1"/>
    </xf>
    <xf numFmtId="0" fontId="2" fillId="0" borderId="4" xfId="0" quotePrefix="1" applyFont="1" applyBorder="1" applyAlignment="1">
      <alignment horizontal="left" vertical="top" wrapText="1"/>
    </xf>
    <xf numFmtId="0" fontId="9" fillId="0" borderId="4" xfId="0" applyFont="1" applyBorder="1" applyAlignment="1">
      <alignment horizontal="left" vertical="top" wrapText="1"/>
    </xf>
    <xf numFmtId="14" fontId="7" fillId="0" borderId="4" xfId="0" applyNumberFormat="1" applyFont="1" applyBorder="1" applyAlignment="1">
      <alignment horizontal="left" vertical="top" wrapText="1"/>
    </xf>
    <xf numFmtId="0" fontId="4" fillId="0" borderId="4" xfId="0" quotePrefix="1" applyFont="1" applyBorder="1" applyAlignment="1">
      <alignment horizontal="left" vertical="top" wrapText="1"/>
    </xf>
    <xf numFmtId="0" fontId="2" fillId="0" borderId="4" xfId="0" applyFont="1" applyBorder="1" applyAlignment="1">
      <alignment wrapText="1"/>
    </xf>
    <xf numFmtId="0" fontId="4" fillId="0" borderId="4" xfId="0" quotePrefix="1" applyFont="1" applyBorder="1" applyAlignment="1">
      <alignment wrapText="1"/>
    </xf>
    <xf numFmtId="0" fontId="3" fillId="5" borderId="4" xfId="0" applyFont="1" applyFill="1" applyBorder="1" applyAlignment="1">
      <alignment horizontal="left" vertical="top"/>
    </xf>
    <xf numFmtId="0" fontId="9" fillId="0" borderId="4" xfId="0" applyFont="1" applyBorder="1" applyAlignment="1">
      <alignment horizontal="center" vertical="center"/>
    </xf>
    <xf numFmtId="14" fontId="4" fillId="0" borderId="4" xfId="0" applyNumberFormat="1" applyFont="1" applyBorder="1" applyAlignment="1">
      <alignment horizontal="center" vertical="center"/>
    </xf>
    <xf numFmtId="0" fontId="3" fillId="5" borderId="4" xfId="0" applyFont="1" applyFill="1" applyBorder="1" applyAlignment="1">
      <alignment horizontal="center" vertical="center" wrapText="1"/>
    </xf>
    <xf numFmtId="0" fontId="7" fillId="0" borderId="4" xfId="0" applyFont="1" applyBorder="1" applyAlignment="1">
      <alignment horizontal="left" vertical="center" wrapText="1"/>
    </xf>
    <xf numFmtId="14" fontId="4" fillId="0" borderId="4" xfId="0" applyNumberFormat="1" applyFont="1" applyBorder="1" applyAlignment="1">
      <alignment horizontal="left" vertical="top"/>
    </xf>
    <xf numFmtId="0" fontId="4"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19" fillId="0" borderId="0" xfId="0" applyFont="1" applyAlignment="1">
      <alignment vertical="top"/>
    </xf>
    <xf numFmtId="0" fontId="4" fillId="0" borderId="4" xfId="0" applyFont="1" applyBorder="1" applyAlignment="1">
      <alignment horizontal="center"/>
    </xf>
    <xf numFmtId="0" fontId="4" fillId="0" borderId="4" xfId="0" applyFont="1" applyBorder="1" applyAlignment="1">
      <alignment horizontal="center" vertical="top" wrapText="1"/>
    </xf>
    <xf numFmtId="0" fontId="6" fillId="0" borderId="4" xfId="0" applyFont="1" applyBorder="1" applyAlignment="1">
      <alignment horizontal="center"/>
    </xf>
    <xf numFmtId="0" fontId="20" fillId="2" borderId="4" xfId="0" applyFont="1" applyFill="1" applyBorder="1" applyAlignment="1">
      <alignment horizontal="center" vertical="center"/>
    </xf>
    <xf numFmtId="0" fontId="20" fillId="2" borderId="4" xfId="0" applyFont="1" applyFill="1" applyBorder="1" applyAlignment="1">
      <alignment horizontal="center" vertical="center" wrapText="1"/>
    </xf>
    <xf numFmtId="0" fontId="20" fillId="2" borderId="4" xfId="0" applyFont="1" applyFill="1" applyBorder="1" applyAlignment="1">
      <alignment horizontal="left"/>
    </xf>
    <xf numFmtId="0" fontId="7" fillId="8" borderId="5" xfId="0" applyFont="1" applyFill="1" applyBorder="1" applyAlignment="1">
      <alignment horizontal="center" vertical="center" wrapText="1"/>
    </xf>
    <xf numFmtId="0" fontId="7" fillId="8" borderId="4" xfId="0" applyFont="1" applyFill="1" applyBorder="1" applyAlignment="1">
      <alignment horizontal="center" vertical="top" wrapText="1"/>
    </xf>
    <xf numFmtId="0" fontId="7" fillId="8" borderId="4"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0" borderId="5"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4" fillId="6" borderId="5"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5" borderId="4" xfId="0" applyFont="1" applyFill="1" applyBorder="1" applyAlignment="1">
      <alignment horizontal="left" vertical="center"/>
    </xf>
    <xf numFmtId="0" fontId="6" fillId="0" borderId="4" xfId="0" applyFont="1" applyBorder="1" applyAlignment="1">
      <alignment horizontal="left"/>
    </xf>
    <xf numFmtId="0" fontId="4" fillId="0" borderId="4" xfId="0" applyFont="1" applyBorder="1" applyAlignment="1">
      <alignment horizontal="left"/>
    </xf>
    <xf numFmtId="0" fontId="11" fillId="9" borderId="4" xfId="0" applyFont="1" applyFill="1" applyBorder="1" applyAlignment="1">
      <alignment horizontal="center" vertical="center" wrapText="1"/>
    </xf>
    <xf numFmtId="0" fontId="3" fillId="5" borderId="4" xfId="0" applyFont="1" applyFill="1" applyBorder="1" applyAlignment="1">
      <alignment vertical="center"/>
    </xf>
    <xf numFmtId="0" fontId="3" fillId="0" borderId="4" xfId="0" applyFont="1" applyBorder="1" applyAlignment="1">
      <alignment horizontal="left" vertical="center" wrapText="1"/>
    </xf>
    <xf numFmtId="0" fontId="2" fillId="0" borderId="4" xfId="0" applyFont="1" applyBorder="1" applyAlignment="1">
      <alignment horizontal="left" vertical="center" wrapText="1"/>
    </xf>
    <xf numFmtId="0" fontId="7" fillId="0" borderId="6" xfId="0" applyFont="1" applyBorder="1" applyAlignment="1">
      <alignment horizontal="center" vertical="center" wrapText="1"/>
    </xf>
  </cellXfs>
  <cellStyles count="3">
    <cellStyle name="Normal" xfId="0" builtinId="0"/>
    <cellStyle name="Normal 10" xfId="2" xr:uid="{1161CF17-AC91-464B-804D-0AD00BE979E1}"/>
    <cellStyle name="Normal_Sheet1" xfId="1" xr:uid="{00000000-0005-0000-0000-000001000000}"/>
  </cellStyles>
  <dxfs count="111">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1371601</xdr:colOff>
      <xdr:row>5</xdr:row>
      <xdr:rowOff>99392</xdr:rowOff>
    </xdr:from>
    <xdr:to>
      <xdr:col>4</xdr:col>
      <xdr:colOff>1311964</xdr:colOff>
      <xdr:row>5</xdr:row>
      <xdr:rowOff>5068146</xdr:rowOff>
    </xdr:to>
    <xdr:pic>
      <xdr:nvPicPr>
        <xdr:cNvPr id="5" name="Picture 4">
          <a:extLst>
            <a:ext uri="{FF2B5EF4-FFF2-40B4-BE49-F238E27FC236}">
              <a16:creationId xmlns:a16="http://schemas.microsoft.com/office/drawing/2014/main" id="{85FFE122-445B-F48F-C764-A6401015CA40}"/>
            </a:ext>
          </a:extLst>
        </xdr:cNvPr>
        <xdr:cNvPicPr>
          <a:picLocks noChangeAspect="1"/>
        </xdr:cNvPicPr>
      </xdr:nvPicPr>
      <xdr:blipFill>
        <a:blip xmlns:r="http://schemas.openxmlformats.org/officeDocument/2006/relationships" r:embed="rId1"/>
        <a:stretch>
          <a:fillRect/>
        </a:stretch>
      </xdr:blipFill>
      <xdr:spPr>
        <a:xfrm>
          <a:off x="1371601" y="1192697"/>
          <a:ext cx="10495721" cy="4968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670016</xdr:colOff>
      <xdr:row>5</xdr:row>
      <xdr:rowOff>323901</xdr:rowOff>
    </xdr:from>
    <xdr:to>
      <xdr:col>11</xdr:col>
      <xdr:colOff>606483</xdr:colOff>
      <xdr:row>5</xdr:row>
      <xdr:rowOff>4927829</xdr:rowOff>
    </xdr:to>
    <xdr:pic>
      <xdr:nvPicPr>
        <xdr:cNvPr id="6" name="Picture 5">
          <a:extLst>
            <a:ext uri="{FF2B5EF4-FFF2-40B4-BE49-F238E27FC236}">
              <a16:creationId xmlns:a16="http://schemas.microsoft.com/office/drawing/2014/main" id="{4B7D8F5B-CDF3-1537-EFF8-05D328C54F04}"/>
            </a:ext>
          </a:extLst>
        </xdr:cNvPr>
        <xdr:cNvPicPr>
          <a:picLocks noChangeAspect="1"/>
        </xdr:cNvPicPr>
      </xdr:nvPicPr>
      <xdr:blipFill>
        <a:blip xmlns:r="http://schemas.openxmlformats.org/officeDocument/2006/relationships" r:embed="rId1"/>
        <a:stretch>
          <a:fillRect/>
        </a:stretch>
      </xdr:blipFill>
      <xdr:spPr>
        <a:xfrm>
          <a:off x="20080553" y="1415256"/>
          <a:ext cx="4239526" cy="4603928"/>
        </a:xfrm>
        <a:prstGeom prst="rect">
          <a:avLst/>
        </a:prstGeom>
      </xdr:spPr>
    </xdr:pic>
    <xdr:clientData/>
  </xdr:twoCellAnchor>
  <xdr:twoCellAnchor editAs="oneCell">
    <xdr:from>
      <xdr:col>0</xdr:col>
      <xdr:colOff>179781</xdr:colOff>
      <xdr:row>5</xdr:row>
      <xdr:rowOff>273326</xdr:rowOff>
    </xdr:from>
    <xdr:to>
      <xdr:col>3</xdr:col>
      <xdr:colOff>1543487</xdr:colOff>
      <xdr:row>5</xdr:row>
      <xdr:rowOff>4745917</xdr:rowOff>
    </xdr:to>
    <xdr:pic>
      <xdr:nvPicPr>
        <xdr:cNvPr id="7" name="Picture 6">
          <a:extLst>
            <a:ext uri="{FF2B5EF4-FFF2-40B4-BE49-F238E27FC236}">
              <a16:creationId xmlns:a16="http://schemas.microsoft.com/office/drawing/2014/main" id="{2DCDAEEB-DBC3-BBA6-9E32-123E3034B60E}"/>
            </a:ext>
          </a:extLst>
        </xdr:cNvPr>
        <xdr:cNvPicPr>
          <a:picLocks noChangeAspect="1"/>
        </xdr:cNvPicPr>
      </xdr:nvPicPr>
      <xdr:blipFill>
        <a:blip xmlns:r="http://schemas.openxmlformats.org/officeDocument/2006/relationships" r:embed="rId2"/>
        <a:stretch>
          <a:fillRect/>
        </a:stretch>
      </xdr:blipFill>
      <xdr:spPr>
        <a:xfrm>
          <a:off x="179781" y="1364681"/>
          <a:ext cx="9486510" cy="4472591"/>
        </a:xfrm>
        <a:prstGeom prst="rect">
          <a:avLst/>
        </a:prstGeom>
      </xdr:spPr>
    </xdr:pic>
    <xdr:clientData/>
  </xdr:twoCellAnchor>
  <xdr:twoCellAnchor editAs="oneCell">
    <xdr:from>
      <xdr:col>3</xdr:col>
      <xdr:colOff>1785632</xdr:colOff>
      <xdr:row>5</xdr:row>
      <xdr:rowOff>257736</xdr:rowOff>
    </xdr:from>
    <xdr:to>
      <xdr:col>8</xdr:col>
      <xdr:colOff>483198</xdr:colOff>
      <xdr:row>5</xdr:row>
      <xdr:rowOff>4973464</xdr:rowOff>
    </xdr:to>
    <xdr:pic>
      <xdr:nvPicPr>
        <xdr:cNvPr id="8" name="Picture 7">
          <a:extLst>
            <a:ext uri="{FF2B5EF4-FFF2-40B4-BE49-F238E27FC236}">
              <a16:creationId xmlns:a16="http://schemas.microsoft.com/office/drawing/2014/main" id="{0F289FBA-5689-1405-009D-18A61A2B89B9}"/>
            </a:ext>
          </a:extLst>
        </xdr:cNvPr>
        <xdr:cNvPicPr>
          <a:picLocks noChangeAspect="1"/>
        </xdr:cNvPicPr>
      </xdr:nvPicPr>
      <xdr:blipFill>
        <a:blip xmlns:r="http://schemas.openxmlformats.org/officeDocument/2006/relationships" r:embed="rId3"/>
        <a:stretch>
          <a:fillRect/>
        </a:stretch>
      </xdr:blipFill>
      <xdr:spPr>
        <a:xfrm>
          <a:off x="9908436" y="1349091"/>
          <a:ext cx="9985299" cy="47157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1386381</xdr:colOff>
      <xdr:row>5</xdr:row>
      <xdr:rowOff>101939</xdr:rowOff>
    </xdr:from>
    <xdr:to>
      <xdr:col>4</xdr:col>
      <xdr:colOff>849594</xdr:colOff>
      <xdr:row>5</xdr:row>
      <xdr:rowOff>4893110</xdr:rowOff>
    </xdr:to>
    <xdr:pic>
      <xdr:nvPicPr>
        <xdr:cNvPr id="3" name="Picture 2">
          <a:extLst>
            <a:ext uri="{FF2B5EF4-FFF2-40B4-BE49-F238E27FC236}">
              <a16:creationId xmlns:a16="http://schemas.microsoft.com/office/drawing/2014/main" id="{1A5D277D-D834-C0A9-4C39-B44F2CBEF441}"/>
            </a:ext>
          </a:extLst>
        </xdr:cNvPr>
        <xdr:cNvPicPr>
          <a:picLocks noChangeAspect="1"/>
        </xdr:cNvPicPr>
      </xdr:nvPicPr>
      <xdr:blipFill>
        <a:blip xmlns:r="http://schemas.openxmlformats.org/officeDocument/2006/relationships" r:embed="rId1"/>
        <a:stretch>
          <a:fillRect/>
        </a:stretch>
      </xdr:blipFill>
      <xdr:spPr>
        <a:xfrm>
          <a:off x="1386381" y="1223277"/>
          <a:ext cx="10044564" cy="4791171"/>
        </a:xfrm>
        <a:prstGeom prst="rect">
          <a:avLst/>
        </a:prstGeom>
      </xdr:spPr>
    </xdr:pic>
    <xdr:clientData/>
  </xdr:twoCellAnchor>
  <xdr:twoCellAnchor editAs="oneCell">
    <xdr:from>
      <xdr:col>4</xdr:col>
      <xdr:colOff>1047095</xdr:colOff>
      <xdr:row>5</xdr:row>
      <xdr:rowOff>566918</xdr:rowOff>
    </xdr:from>
    <xdr:to>
      <xdr:col>5</xdr:col>
      <xdr:colOff>2860813</xdr:colOff>
      <xdr:row>5</xdr:row>
      <xdr:rowOff>4596555</xdr:rowOff>
    </xdr:to>
    <xdr:pic>
      <xdr:nvPicPr>
        <xdr:cNvPr id="4" name="Picture 3">
          <a:extLst>
            <a:ext uri="{FF2B5EF4-FFF2-40B4-BE49-F238E27FC236}">
              <a16:creationId xmlns:a16="http://schemas.microsoft.com/office/drawing/2014/main" id="{88FE48A7-3F0E-6371-19EC-77D71C8B52A4}"/>
            </a:ext>
          </a:extLst>
        </xdr:cNvPr>
        <xdr:cNvPicPr>
          <a:picLocks noChangeAspect="1"/>
        </xdr:cNvPicPr>
      </xdr:nvPicPr>
      <xdr:blipFill>
        <a:blip xmlns:r="http://schemas.openxmlformats.org/officeDocument/2006/relationships" r:embed="rId2"/>
        <a:stretch>
          <a:fillRect/>
        </a:stretch>
      </xdr:blipFill>
      <xdr:spPr>
        <a:xfrm>
          <a:off x="11615100" y="1651187"/>
          <a:ext cx="4546077" cy="40296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704258</xdr:colOff>
      <xdr:row>5</xdr:row>
      <xdr:rowOff>318052</xdr:rowOff>
    </xdr:from>
    <xdr:to>
      <xdr:col>4</xdr:col>
      <xdr:colOff>2482235</xdr:colOff>
      <xdr:row>5</xdr:row>
      <xdr:rowOff>5166954</xdr:rowOff>
    </xdr:to>
    <xdr:pic>
      <xdr:nvPicPr>
        <xdr:cNvPr id="3" name="Picture 2">
          <a:extLst>
            <a:ext uri="{FF2B5EF4-FFF2-40B4-BE49-F238E27FC236}">
              <a16:creationId xmlns:a16="http://schemas.microsoft.com/office/drawing/2014/main" id="{438920AF-EBB8-65C3-357D-204F3C816A6A}"/>
            </a:ext>
          </a:extLst>
        </xdr:cNvPr>
        <xdr:cNvPicPr>
          <a:picLocks noChangeAspect="1"/>
        </xdr:cNvPicPr>
      </xdr:nvPicPr>
      <xdr:blipFill>
        <a:blip xmlns:r="http://schemas.openxmlformats.org/officeDocument/2006/relationships" r:embed="rId1"/>
        <a:stretch>
          <a:fillRect/>
        </a:stretch>
      </xdr:blipFill>
      <xdr:spPr>
        <a:xfrm>
          <a:off x="8814588" y="1397158"/>
          <a:ext cx="4220164" cy="4848902"/>
        </a:xfrm>
        <a:prstGeom prst="rect">
          <a:avLst/>
        </a:prstGeom>
      </xdr:spPr>
    </xdr:pic>
    <xdr:clientData/>
  </xdr:twoCellAnchor>
  <xdr:twoCellAnchor editAs="oneCell">
    <xdr:from>
      <xdr:col>5</xdr:col>
      <xdr:colOff>56796</xdr:colOff>
      <xdr:row>5</xdr:row>
      <xdr:rowOff>484717</xdr:rowOff>
    </xdr:from>
    <xdr:to>
      <xdr:col>6</xdr:col>
      <xdr:colOff>504035</xdr:colOff>
      <xdr:row>5</xdr:row>
      <xdr:rowOff>4975244</xdr:rowOff>
    </xdr:to>
    <xdr:pic>
      <xdr:nvPicPr>
        <xdr:cNvPr id="4" name="Picture 3">
          <a:extLst>
            <a:ext uri="{FF2B5EF4-FFF2-40B4-BE49-F238E27FC236}">
              <a16:creationId xmlns:a16="http://schemas.microsoft.com/office/drawing/2014/main" id="{E72FA640-985E-0E66-6079-11558DE5AE6C}"/>
            </a:ext>
          </a:extLst>
        </xdr:cNvPr>
        <xdr:cNvPicPr>
          <a:picLocks noChangeAspect="1"/>
        </xdr:cNvPicPr>
      </xdr:nvPicPr>
      <xdr:blipFill>
        <a:blip xmlns:r="http://schemas.openxmlformats.org/officeDocument/2006/relationships" r:embed="rId2"/>
        <a:stretch>
          <a:fillRect/>
        </a:stretch>
      </xdr:blipFill>
      <xdr:spPr>
        <a:xfrm>
          <a:off x="13119653" y="1563823"/>
          <a:ext cx="4093482" cy="4490527"/>
        </a:xfrm>
        <a:prstGeom prst="rect">
          <a:avLst/>
        </a:prstGeom>
      </xdr:spPr>
    </xdr:pic>
    <xdr:clientData/>
  </xdr:twoCellAnchor>
  <xdr:twoCellAnchor editAs="oneCell">
    <xdr:from>
      <xdr:col>1</xdr:col>
      <xdr:colOff>193104</xdr:colOff>
      <xdr:row>5</xdr:row>
      <xdr:rowOff>132587</xdr:rowOff>
    </xdr:from>
    <xdr:to>
      <xdr:col>3</xdr:col>
      <xdr:colOff>54206</xdr:colOff>
      <xdr:row>5</xdr:row>
      <xdr:rowOff>5105331</xdr:rowOff>
    </xdr:to>
    <xdr:pic>
      <xdr:nvPicPr>
        <xdr:cNvPr id="5" name="Picture 4">
          <a:extLst>
            <a:ext uri="{FF2B5EF4-FFF2-40B4-BE49-F238E27FC236}">
              <a16:creationId xmlns:a16="http://schemas.microsoft.com/office/drawing/2014/main" id="{D036D553-BCF5-AF57-AAAC-12163144B8C8}"/>
            </a:ext>
          </a:extLst>
        </xdr:cNvPr>
        <xdr:cNvPicPr>
          <a:picLocks noChangeAspect="1"/>
        </xdr:cNvPicPr>
      </xdr:nvPicPr>
      <xdr:blipFill>
        <a:blip xmlns:r="http://schemas.openxmlformats.org/officeDocument/2006/relationships" r:embed="rId3"/>
        <a:stretch>
          <a:fillRect/>
        </a:stretch>
      </xdr:blipFill>
      <xdr:spPr>
        <a:xfrm>
          <a:off x="1715211" y="1211693"/>
          <a:ext cx="6449325" cy="49727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5</xdr:row>
      <xdr:rowOff>180473</xdr:rowOff>
    </xdr:from>
    <xdr:ext cx="9447968" cy="4600338"/>
    <xdr:pic>
      <xdr:nvPicPr>
        <xdr:cNvPr id="2" name="Picture 1">
          <a:extLst>
            <a:ext uri="{FF2B5EF4-FFF2-40B4-BE49-F238E27FC236}">
              <a16:creationId xmlns:a16="http://schemas.microsoft.com/office/drawing/2014/main" id="{45253D1A-4954-4325-ABCE-4D6122A2FCEF}"/>
            </a:ext>
          </a:extLst>
        </xdr:cNvPr>
        <xdr:cNvPicPr>
          <a:picLocks noChangeAspect="1"/>
        </xdr:cNvPicPr>
      </xdr:nvPicPr>
      <xdr:blipFill>
        <a:blip xmlns:r="http://schemas.openxmlformats.org/officeDocument/2006/relationships" r:embed="rId1"/>
        <a:stretch>
          <a:fillRect/>
        </a:stretch>
      </xdr:blipFill>
      <xdr:spPr>
        <a:xfrm>
          <a:off x="0" y="1134630"/>
          <a:ext cx="9447968" cy="4600338"/>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xdr:colOff>
      <xdr:row>7</xdr:row>
      <xdr:rowOff>93580</xdr:rowOff>
    </xdr:from>
    <xdr:ext cx="8986182" cy="4211244"/>
    <xdr:pic>
      <xdr:nvPicPr>
        <xdr:cNvPr id="2" name="Picture 1">
          <a:extLst>
            <a:ext uri="{FF2B5EF4-FFF2-40B4-BE49-F238E27FC236}">
              <a16:creationId xmlns:a16="http://schemas.microsoft.com/office/drawing/2014/main" id="{89EE27C0-227E-42DE-A774-D63132241A8D}"/>
            </a:ext>
          </a:extLst>
        </xdr:cNvPr>
        <xdr:cNvPicPr>
          <a:picLocks noChangeAspect="1"/>
        </xdr:cNvPicPr>
      </xdr:nvPicPr>
      <xdr:blipFill>
        <a:blip xmlns:r="http://schemas.openxmlformats.org/officeDocument/2006/relationships" r:embed="rId1"/>
        <a:stretch>
          <a:fillRect/>
        </a:stretch>
      </xdr:blipFill>
      <xdr:spPr>
        <a:xfrm>
          <a:off x="1" y="1429399"/>
          <a:ext cx="8986182" cy="421124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496957</xdr:colOff>
      <xdr:row>5</xdr:row>
      <xdr:rowOff>165693</xdr:rowOff>
    </xdr:from>
    <xdr:ext cx="9640956" cy="4801599"/>
    <xdr:pic>
      <xdr:nvPicPr>
        <xdr:cNvPr id="2" name="Picture 1">
          <a:extLst>
            <a:ext uri="{FF2B5EF4-FFF2-40B4-BE49-F238E27FC236}">
              <a16:creationId xmlns:a16="http://schemas.microsoft.com/office/drawing/2014/main" id="{46195D60-87B6-47B5-ACFC-69E4D2E5CDFD}"/>
            </a:ext>
          </a:extLst>
        </xdr:cNvPr>
        <xdr:cNvPicPr>
          <a:picLocks noChangeAspect="1"/>
        </xdr:cNvPicPr>
      </xdr:nvPicPr>
      <xdr:blipFill>
        <a:blip xmlns:r="http://schemas.openxmlformats.org/officeDocument/2006/relationships" r:embed="rId1"/>
        <a:stretch>
          <a:fillRect/>
        </a:stretch>
      </xdr:blipFill>
      <xdr:spPr>
        <a:xfrm>
          <a:off x="496957" y="1219241"/>
          <a:ext cx="9640956" cy="480159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5</xdr:row>
      <xdr:rowOff>33617</xdr:rowOff>
    </xdr:from>
    <xdr:ext cx="3943719" cy="5087060"/>
    <xdr:pic>
      <xdr:nvPicPr>
        <xdr:cNvPr id="2" name="Picture 1">
          <a:extLst>
            <a:ext uri="{FF2B5EF4-FFF2-40B4-BE49-F238E27FC236}">
              <a16:creationId xmlns:a16="http://schemas.microsoft.com/office/drawing/2014/main" id="{32A10480-F3F4-4A64-A9E0-3E431480E2E4}"/>
            </a:ext>
          </a:extLst>
        </xdr:cNvPr>
        <xdr:cNvPicPr>
          <a:picLocks noChangeAspect="1"/>
        </xdr:cNvPicPr>
      </xdr:nvPicPr>
      <xdr:blipFill>
        <a:blip xmlns:r="http://schemas.openxmlformats.org/officeDocument/2006/relationships" r:embed="rId1"/>
        <a:stretch>
          <a:fillRect/>
        </a:stretch>
      </xdr:blipFill>
      <xdr:spPr>
        <a:xfrm>
          <a:off x="0" y="987774"/>
          <a:ext cx="3943719" cy="50870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zoomScale="78" workbookViewId="0">
      <selection activeCell="E18" sqref="E18"/>
    </sheetView>
  </sheetViews>
  <sheetFormatPr defaultRowHeight="14.4"/>
  <cols>
    <col min="1" max="1" width="14.33203125" bestFit="1" customWidth="1"/>
    <col min="2" max="2" width="41.33203125" customWidth="1"/>
    <col min="3" max="3" width="38.109375" customWidth="1"/>
    <col min="4" max="4" width="13.77734375" customWidth="1"/>
    <col min="5" max="5" width="14" customWidth="1"/>
  </cols>
  <sheetData>
    <row r="1" spans="1:5" ht="15" customHeight="1">
      <c r="A1" s="85" t="s">
        <v>0</v>
      </c>
      <c r="B1" s="86"/>
      <c r="C1" s="86"/>
      <c r="D1" s="86"/>
      <c r="E1" s="86"/>
    </row>
    <row r="2" spans="1:5" ht="11.25" customHeight="1">
      <c r="A2" s="87"/>
      <c r="B2" s="88"/>
      <c r="C2" s="88"/>
      <c r="D2" s="88"/>
      <c r="E2" s="88"/>
    </row>
    <row r="3" spans="1:5" ht="42.75" customHeight="1">
      <c r="A3" s="89" t="s">
        <v>0</v>
      </c>
      <c r="B3" s="89"/>
      <c r="C3" s="89"/>
      <c r="D3" s="89"/>
      <c r="E3" s="89"/>
    </row>
    <row r="4" spans="1:5">
      <c r="A4" s="89"/>
      <c r="B4" s="89"/>
      <c r="C4" s="89"/>
      <c r="D4" s="89"/>
      <c r="E4" s="89"/>
    </row>
    <row r="5" spans="1:5" ht="20.100000000000001" customHeight="1">
      <c r="A5" s="9" t="s">
        <v>1</v>
      </c>
      <c r="B5" s="90" t="s">
        <v>30</v>
      </c>
      <c r="C5" s="91"/>
      <c r="D5" s="91"/>
      <c r="E5" s="92"/>
    </row>
    <row r="6" spans="1:5" ht="33.6">
      <c r="A6" s="10" t="s">
        <v>2</v>
      </c>
      <c r="B6" s="10" t="s">
        <v>3</v>
      </c>
      <c r="C6" s="10" t="s">
        <v>4</v>
      </c>
      <c r="D6" s="10" t="s">
        <v>31</v>
      </c>
      <c r="E6" s="10" t="s">
        <v>5</v>
      </c>
    </row>
    <row r="7" spans="1:5" ht="16.8">
      <c r="A7" s="96">
        <v>1</v>
      </c>
      <c r="B7" s="93" t="s">
        <v>34</v>
      </c>
      <c r="C7" s="12" t="s">
        <v>122</v>
      </c>
      <c r="D7" s="4">
        <v>25</v>
      </c>
      <c r="E7" s="99" t="s">
        <v>33</v>
      </c>
    </row>
    <row r="8" spans="1:5" ht="16.8">
      <c r="A8" s="97"/>
      <c r="B8" s="94"/>
      <c r="C8" s="12" t="s">
        <v>170</v>
      </c>
      <c r="D8" s="4">
        <v>30</v>
      </c>
      <c r="E8" s="100"/>
    </row>
    <row r="9" spans="1:5" ht="16.8">
      <c r="A9" s="97"/>
      <c r="B9" s="94"/>
      <c r="C9" s="12" t="s">
        <v>171</v>
      </c>
      <c r="D9" s="4">
        <v>33</v>
      </c>
      <c r="E9" s="100"/>
    </row>
    <row r="10" spans="1:5" ht="16.8">
      <c r="A10" s="98"/>
      <c r="B10" s="95"/>
      <c r="C10" s="12" t="s">
        <v>124</v>
      </c>
      <c r="D10" s="4">
        <v>32</v>
      </c>
      <c r="E10" s="111"/>
    </row>
    <row r="11" spans="1:5" ht="16.8">
      <c r="A11" s="4">
        <v>2</v>
      </c>
      <c r="B11" s="70" t="s">
        <v>35</v>
      </c>
      <c r="C11" s="12" t="s">
        <v>35</v>
      </c>
      <c r="D11" s="4">
        <v>43</v>
      </c>
      <c r="E11" s="82" t="s">
        <v>32</v>
      </c>
    </row>
    <row r="12" spans="1:5" ht="16.8">
      <c r="A12" s="11">
        <v>3</v>
      </c>
      <c r="B12" s="70" t="s">
        <v>36</v>
      </c>
      <c r="C12" s="12" t="s">
        <v>36</v>
      </c>
      <c r="D12" s="4">
        <v>53</v>
      </c>
      <c r="E12" s="83" t="s">
        <v>24</v>
      </c>
    </row>
    <row r="13" spans="1:5" ht="16.8">
      <c r="A13" s="4">
        <v>4</v>
      </c>
      <c r="B13" s="70" t="s">
        <v>83</v>
      </c>
      <c r="C13" s="12" t="s">
        <v>83</v>
      </c>
      <c r="D13" s="4">
        <v>20</v>
      </c>
      <c r="E13" s="84" t="s">
        <v>32</v>
      </c>
    </row>
    <row r="14" spans="1:5" ht="16.8">
      <c r="A14" s="11">
        <v>5</v>
      </c>
      <c r="B14" s="70" t="s">
        <v>116</v>
      </c>
      <c r="C14" s="12" t="s">
        <v>116</v>
      </c>
      <c r="D14" s="4">
        <v>14</v>
      </c>
      <c r="E14" s="84" t="s">
        <v>24</v>
      </c>
    </row>
    <row r="15" spans="1:5">
      <c r="D15">
        <f>SUM(D7:D14)</f>
        <v>250</v>
      </c>
    </row>
    <row r="16" spans="1:5" ht="16.8">
      <c r="B16" s="7"/>
      <c r="C16" s="7"/>
      <c r="D16" s="7"/>
      <c r="E16" s="8"/>
    </row>
    <row r="17" spans="2:5" ht="16.8">
      <c r="B17" s="7"/>
      <c r="C17" s="7"/>
      <c r="D17" s="7"/>
      <c r="E17" s="8"/>
    </row>
  </sheetData>
  <mergeCells count="6">
    <mergeCell ref="A1:E2"/>
    <mergeCell ref="A3:E4"/>
    <mergeCell ref="B5:E5"/>
    <mergeCell ref="B7:B10"/>
    <mergeCell ref="A7:A10"/>
    <mergeCell ref="E7:E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707B-D08A-430A-9233-A7C2828D58C2}">
  <dimension ref="A1:M26"/>
  <sheetViews>
    <sheetView topLeftCell="D17" zoomScale="70" zoomScaleNormal="70" workbookViewId="0">
      <selection activeCell="L18" sqref="L18:L26"/>
    </sheetView>
  </sheetViews>
  <sheetFormatPr defaultColWidth="9.109375" defaultRowHeight="16.8"/>
  <cols>
    <col min="1" max="1" width="21.33203125" style="3" bestFit="1" customWidth="1"/>
    <col min="2" max="2" width="40.6640625" style="3" bestFit="1" customWidth="1"/>
    <col min="3" max="3" width="51.44140625" style="3" customWidth="1"/>
    <col min="4" max="4" width="34.109375" style="3" customWidth="1"/>
    <col min="5" max="5" width="35.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101" t="s">
        <v>30</v>
      </c>
      <c r="C1" s="102"/>
      <c r="D1" s="102"/>
      <c r="E1" s="102"/>
      <c r="F1" s="103"/>
      <c r="G1" s="16"/>
      <c r="H1" s="35"/>
      <c r="J1" s="16"/>
    </row>
    <row r="2" spans="1:13" s="26" customFormat="1">
      <c r="A2" s="43" t="s">
        <v>7</v>
      </c>
      <c r="B2" s="42" t="s">
        <v>122</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15</v>
      </c>
      <c r="C4" s="38">
        <v>2</v>
      </c>
      <c r="D4" s="44">
        <f>COUNTIF(G11:G19,"Untested")</f>
        <v>0</v>
      </c>
      <c r="E4" s="44">
        <f>COUNTIF(G11:G19,"Blocked")</f>
        <v>0</v>
      </c>
      <c r="F4" s="38">
        <v>15</v>
      </c>
      <c r="G4" s="16"/>
      <c r="H4" s="35"/>
      <c r="J4" s="16"/>
    </row>
    <row r="5" spans="1:13" s="26" customFormat="1">
      <c r="A5" s="41" t="s">
        <v>12</v>
      </c>
      <c r="B5" s="38">
        <v>9</v>
      </c>
      <c r="C5" s="38">
        <v>0</v>
      </c>
      <c r="D5" s="44">
        <f>COUNTIF(J11:J19,"Untested")</f>
        <v>0</v>
      </c>
      <c r="E5" s="44">
        <f>COUNTIF(J11:J19,"Blocked")</f>
        <v>0</v>
      </c>
      <c r="F5" s="44">
        <v>9</v>
      </c>
      <c r="G5" s="16"/>
      <c r="H5" s="35"/>
      <c r="J5" s="16"/>
    </row>
    <row r="6" spans="1:13" s="26" customFormat="1" ht="409.6" customHeight="1">
      <c r="A6" s="37"/>
      <c r="B6" s="36"/>
      <c r="E6" s="17"/>
      <c r="G6" s="16"/>
      <c r="H6" s="35"/>
      <c r="J6" s="16"/>
    </row>
    <row r="7" spans="1:13" s="26" customFormat="1">
      <c r="A7" s="32" t="s">
        <v>13</v>
      </c>
      <c r="B7" s="32" t="s">
        <v>5</v>
      </c>
      <c r="C7" s="32" t="s">
        <v>80</v>
      </c>
      <c r="D7" s="32" t="s">
        <v>14</v>
      </c>
      <c r="E7" s="32" t="s">
        <v>15</v>
      </c>
      <c r="F7" s="32" t="s">
        <v>16</v>
      </c>
      <c r="G7" s="32" t="s">
        <v>17</v>
      </c>
      <c r="H7" s="32"/>
      <c r="I7" s="32"/>
      <c r="J7" s="32" t="s">
        <v>17</v>
      </c>
      <c r="K7" s="32"/>
      <c r="L7" s="32"/>
      <c r="M7" s="32" t="s">
        <v>18</v>
      </c>
    </row>
    <row r="8" spans="1:13" s="26" customFormat="1">
      <c r="A8" s="32"/>
      <c r="B8" s="32"/>
      <c r="C8" s="32"/>
      <c r="D8" s="32"/>
      <c r="E8" s="32"/>
      <c r="F8" s="32"/>
      <c r="G8" s="32" t="s">
        <v>19</v>
      </c>
      <c r="H8" s="32"/>
      <c r="I8" s="32"/>
      <c r="J8" s="32" t="s">
        <v>20</v>
      </c>
      <c r="K8" s="32"/>
      <c r="L8" s="32"/>
      <c r="M8" s="32"/>
    </row>
    <row r="9" spans="1:13" s="26" customFormat="1">
      <c r="A9" s="32"/>
      <c r="B9" s="32"/>
      <c r="C9" s="32"/>
      <c r="D9" s="32"/>
      <c r="E9" s="32"/>
      <c r="F9" s="32"/>
      <c r="G9" s="34" t="s">
        <v>21</v>
      </c>
      <c r="H9" s="33" t="s">
        <v>22</v>
      </c>
      <c r="I9" s="32" t="s">
        <v>23</v>
      </c>
      <c r="J9" s="34" t="s">
        <v>21</v>
      </c>
      <c r="K9" s="33" t="s">
        <v>22</v>
      </c>
      <c r="L9" s="32" t="s">
        <v>23</v>
      </c>
      <c r="M9" s="32"/>
    </row>
    <row r="10" spans="1:13" s="26" customFormat="1">
      <c r="A10" s="31" t="s">
        <v>134</v>
      </c>
      <c r="B10" s="45"/>
      <c r="C10" s="45"/>
      <c r="D10" s="45"/>
      <c r="E10" s="45"/>
      <c r="F10" s="45"/>
      <c r="G10" s="45"/>
      <c r="H10" s="45"/>
      <c r="I10" s="45"/>
      <c r="J10" s="45"/>
      <c r="K10" s="45"/>
      <c r="L10" s="45"/>
      <c r="M10" s="45"/>
    </row>
    <row r="11" spans="1:13" s="26" customFormat="1" ht="33.6">
      <c r="A11" s="46" t="s">
        <v>145</v>
      </c>
      <c r="B11" s="6" t="s">
        <v>125</v>
      </c>
      <c r="C11" s="23"/>
      <c r="D11" s="23"/>
      <c r="E11" s="47" t="s">
        <v>119</v>
      </c>
      <c r="F11" s="47" t="s">
        <v>119</v>
      </c>
      <c r="G11" s="48" t="s">
        <v>117</v>
      </c>
      <c r="H11" s="5">
        <v>46085</v>
      </c>
      <c r="I11" s="49" t="s">
        <v>33</v>
      </c>
      <c r="J11" s="50"/>
      <c r="K11" s="51"/>
      <c r="L11" s="52"/>
      <c r="M11" s="23"/>
    </row>
    <row r="12" spans="1:13" s="26" customFormat="1" ht="67.2">
      <c r="A12" s="46" t="s">
        <v>146</v>
      </c>
      <c r="B12" s="6" t="s">
        <v>126</v>
      </c>
      <c r="C12" s="23"/>
      <c r="D12" s="23"/>
      <c r="E12" s="47" t="s">
        <v>118</v>
      </c>
      <c r="F12" s="47" t="s">
        <v>118</v>
      </c>
      <c r="G12" s="48" t="s">
        <v>117</v>
      </c>
      <c r="H12" s="5">
        <v>46085</v>
      </c>
      <c r="I12" s="49" t="s">
        <v>33</v>
      </c>
      <c r="J12" s="50"/>
      <c r="K12" s="51"/>
      <c r="L12" s="52"/>
      <c r="M12" s="23"/>
    </row>
    <row r="13" spans="1:13" s="26" customFormat="1" ht="67.2">
      <c r="A13" s="46" t="s">
        <v>147</v>
      </c>
      <c r="B13" s="6" t="s">
        <v>127</v>
      </c>
      <c r="C13" s="23"/>
      <c r="D13" s="23"/>
      <c r="E13" s="47" t="s">
        <v>118</v>
      </c>
      <c r="F13" s="47" t="s">
        <v>118</v>
      </c>
      <c r="G13" s="48" t="s">
        <v>117</v>
      </c>
      <c r="H13" s="5">
        <v>46085</v>
      </c>
      <c r="I13" s="49" t="s">
        <v>33</v>
      </c>
      <c r="J13" s="50"/>
      <c r="K13" s="51"/>
      <c r="L13" s="52"/>
      <c r="M13" s="23"/>
    </row>
    <row r="14" spans="1:13" s="26" customFormat="1" ht="50.4">
      <c r="A14" s="46" t="s">
        <v>148</v>
      </c>
      <c r="B14" s="6" t="s">
        <v>128</v>
      </c>
      <c r="C14" s="23"/>
      <c r="D14" s="23"/>
      <c r="E14" s="47" t="s">
        <v>131</v>
      </c>
      <c r="F14" s="47" t="s">
        <v>131</v>
      </c>
      <c r="G14" s="48" t="s">
        <v>117</v>
      </c>
      <c r="H14" s="5">
        <v>46085</v>
      </c>
      <c r="I14" s="49" t="s">
        <v>33</v>
      </c>
      <c r="J14" s="50"/>
      <c r="K14" s="51"/>
      <c r="L14" s="52"/>
      <c r="M14" s="23"/>
    </row>
    <row r="15" spans="1:13" s="26" customFormat="1" ht="67.2">
      <c r="A15" s="46" t="s">
        <v>149</v>
      </c>
      <c r="B15" s="6" t="s">
        <v>129</v>
      </c>
      <c r="C15" s="23"/>
      <c r="D15" s="23"/>
      <c r="E15" s="47" t="s">
        <v>132</v>
      </c>
      <c r="F15" s="47" t="s">
        <v>132</v>
      </c>
      <c r="G15" s="48" t="s">
        <v>117</v>
      </c>
      <c r="H15" s="5">
        <v>46085</v>
      </c>
      <c r="I15" s="49" t="s">
        <v>33</v>
      </c>
      <c r="J15" s="50"/>
      <c r="K15" s="51"/>
      <c r="L15" s="52"/>
      <c r="M15" s="23"/>
    </row>
    <row r="16" spans="1:13" s="26" customFormat="1" ht="67.2">
      <c r="A16" s="46" t="s">
        <v>150</v>
      </c>
      <c r="B16" s="6" t="s">
        <v>130</v>
      </c>
      <c r="C16" s="23"/>
      <c r="D16" s="23"/>
      <c r="E16" s="47" t="s">
        <v>133</v>
      </c>
      <c r="F16" s="47" t="s">
        <v>133</v>
      </c>
      <c r="G16" s="48" t="s">
        <v>117</v>
      </c>
      <c r="H16" s="5">
        <v>46085</v>
      </c>
      <c r="I16" s="49" t="s">
        <v>33</v>
      </c>
      <c r="J16" s="50"/>
      <c r="K16" s="51"/>
      <c r="L16" s="52"/>
      <c r="M16" s="23"/>
    </row>
    <row r="17" spans="1:13" s="26" customFormat="1">
      <c r="A17" s="27" t="s">
        <v>135</v>
      </c>
      <c r="B17" s="53"/>
      <c r="C17" s="53"/>
      <c r="D17" s="53"/>
      <c r="E17" s="53"/>
      <c r="F17" s="53"/>
      <c r="G17" s="53"/>
      <c r="H17" s="53"/>
      <c r="I17" s="53"/>
      <c r="J17" s="53"/>
      <c r="K17" s="53"/>
      <c r="L17" s="53"/>
      <c r="M17" s="53"/>
    </row>
    <row r="18" spans="1:13" s="26" customFormat="1" ht="46.2" customHeight="1">
      <c r="A18" s="54" t="s">
        <v>141</v>
      </c>
      <c r="B18" s="55" t="s">
        <v>136</v>
      </c>
      <c r="C18" s="55" t="s">
        <v>138</v>
      </c>
      <c r="D18" s="55" t="s">
        <v>120</v>
      </c>
      <c r="E18" s="55" t="s">
        <v>139</v>
      </c>
      <c r="F18" s="55" t="s">
        <v>139</v>
      </c>
      <c r="G18" s="48" t="s">
        <v>117</v>
      </c>
      <c r="H18" s="5">
        <v>46085</v>
      </c>
      <c r="I18" s="49" t="s">
        <v>33</v>
      </c>
      <c r="J18" s="48" t="s">
        <v>117</v>
      </c>
      <c r="K18" s="5" t="s">
        <v>411</v>
      </c>
      <c r="L18" s="49" t="s">
        <v>33</v>
      </c>
      <c r="M18" s="23"/>
    </row>
    <row r="19" spans="1:13" s="26" customFormat="1" ht="50.4">
      <c r="A19" s="54" t="s">
        <v>142</v>
      </c>
      <c r="B19" s="55" t="s">
        <v>123</v>
      </c>
      <c r="C19" s="55" t="s">
        <v>168</v>
      </c>
      <c r="D19" s="55" t="s">
        <v>120</v>
      </c>
      <c r="E19" s="55" t="s">
        <v>167</v>
      </c>
      <c r="F19" s="55" t="s">
        <v>167</v>
      </c>
      <c r="G19" s="48" t="s">
        <v>117</v>
      </c>
      <c r="H19" s="5">
        <v>46085</v>
      </c>
      <c r="I19" s="49" t="s">
        <v>33</v>
      </c>
      <c r="J19" s="48" t="s">
        <v>117</v>
      </c>
      <c r="K19" s="5" t="s">
        <v>411</v>
      </c>
      <c r="L19" s="49" t="s">
        <v>33</v>
      </c>
      <c r="M19" s="23"/>
    </row>
    <row r="20" spans="1:13" s="26" customFormat="1" ht="50.4">
      <c r="A20" s="54" t="s">
        <v>143</v>
      </c>
      <c r="B20" s="55" t="s">
        <v>172</v>
      </c>
      <c r="C20" s="55" t="s">
        <v>173</v>
      </c>
      <c r="D20" s="55" t="s">
        <v>120</v>
      </c>
      <c r="E20" s="55" t="s">
        <v>174</v>
      </c>
      <c r="F20" s="55" t="s">
        <v>167</v>
      </c>
      <c r="G20" s="48" t="s">
        <v>121</v>
      </c>
      <c r="H20" s="5">
        <v>46085</v>
      </c>
      <c r="I20" s="49" t="s">
        <v>33</v>
      </c>
      <c r="J20" s="48" t="s">
        <v>117</v>
      </c>
      <c r="K20" s="5" t="s">
        <v>411</v>
      </c>
      <c r="L20" s="49" t="s">
        <v>33</v>
      </c>
      <c r="M20" s="23"/>
    </row>
    <row r="21" spans="1:13" s="26" customFormat="1" ht="45.6" customHeight="1">
      <c r="A21" s="54" t="s">
        <v>144</v>
      </c>
      <c r="B21" s="55" t="s">
        <v>151</v>
      </c>
      <c r="C21" s="55" t="s">
        <v>169</v>
      </c>
      <c r="D21" s="55" t="s">
        <v>120</v>
      </c>
      <c r="E21" s="55" t="s">
        <v>166</v>
      </c>
      <c r="F21" s="55" t="s">
        <v>166</v>
      </c>
      <c r="G21" s="48" t="s">
        <v>117</v>
      </c>
      <c r="H21" s="5">
        <v>46085</v>
      </c>
      <c r="I21" s="49" t="s">
        <v>33</v>
      </c>
      <c r="J21" s="48" t="s">
        <v>117</v>
      </c>
      <c r="K21" s="5" t="s">
        <v>411</v>
      </c>
      <c r="L21" s="49" t="s">
        <v>33</v>
      </c>
      <c r="M21" s="23"/>
    </row>
    <row r="22" spans="1:13" s="26" customFormat="1" ht="67.2">
      <c r="A22" s="54" t="s">
        <v>248</v>
      </c>
      <c r="B22" s="55" t="s">
        <v>137</v>
      </c>
      <c r="C22" s="55" t="s">
        <v>158</v>
      </c>
      <c r="D22" s="55" t="s">
        <v>140</v>
      </c>
      <c r="E22" s="55" t="s">
        <v>160</v>
      </c>
      <c r="F22" s="55" t="s">
        <v>159</v>
      </c>
      <c r="G22" s="48" t="s">
        <v>121</v>
      </c>
      <c r="H22" s="5">
        <v>46085</v>
      </c>
      <c r="I22" s="49" t="s">
        <v>33</v>
      </c>
      <c r="J22" s="48" t="s">
        <v>117</v>
      </c>
      <c r="K22" s="5" t="s">
        <v>411</v>
      </c>
      <c r="L22" s="49" t="s">
        <v>33</v>
      </c>
      <c r="M22" s="23"/>
    </row>
    <row r="23" spans="1:13" s="26" customFormat="1" ht="67.2">
      <c r="A23" s="54" t="s">
        <v>249</v>
      </c>
      <c r="B23" s="55" t="s">
        <v>161</v>
      </c>
      <c r="C23" s="55" t="s">
        <v>162</v>
      </c>
      <c r="D23" s="55" t="s">
        <v>140</v>
      </c>
      <c r="E23" s="55" t="s">
        <v>163</v>
      </c>
      <c r="F23" s="55" t="s">
        <v>163</v>
      </c>
      <c r="G23" s="48" t="s">
        <v>117</v>
      </c>
      <c r="H23" s="5">
        <v>46085</v>
      </c>
      <c r="I23" s="49" t="s">
        <v>33</v>
      </c>
      <c r="J23" s="48" t="s">
        <v>117</v>
      </c>
      <c r="K23" s="5" t="s">
        <v>411</v>
      </c>
      <c r="L23" s="49" t="s">
        <v>33</v>
      </c>
      <c r="M23" s="23"/>
    </row>
    <row r="24" spans="1:13" s="26" customFormat="1" ht="67.2">
      <c r="A24" s="54" t="s">
        <v>250</v>
      </c>
      <c r="B24" s="55" t="s">
        <v>164</v>
      </c>
      <c r="C24" s="55" t="s">
        <v>165</v>
      </c>
      <c r="D24" s="55" t="s">
        <v>140</v>
      </c>
      <c r="E24" s="55" t="s">
        <v>166</v>
      </c>
      <c r="F24" s="55" t="s">
        <v>166</v>
      </c>
      <c r="G24" s="48" t="s">
        <v>117</v>
      </c>
      <c r="H24" s="5">
        <v>46085</v>
      </c>
      <c r="I24" s="49" t="s">
        <v>33</v>
      </c>
      <c r="J24" s="48" t="s">
        <v>117</v>
      </c>
      <c r="K24" s="5" t="s">
        <v>411</v>
      </c>
      <c r="L24" s="49" t="s">
        <v>33</v>
      </c>
      <c r="M24" s="23"/>
    </row>
    <row r="25" spans="1:13" ht="50.4">
      <c r="A25" s="54" t="s">
        <v>251</v>
      </c>
      <c r="B25" s="55" t="s">
        <v>152</v>
      </c>
      <c r="C25" s="55" t="s">
        <v>153</v>
      </c>
      <c r="D25" s="55" t="s">
        <v>140</v>
      </c>
      <c r="E25" s="55" t="s">
        <v>154</v>
      </c>
      <c r="F25" s="55" t="s">
        <v>154</v>
      </c>
      <c r="G25" s="48" t="s">
        <v>117</v>
      </c>
      <c r="H25" s="5">
        <v>46085</v>
      </c>
      <c r="I25" s="49" t="s">
        <v>33</v>
      </c>
      <c r="J25" s="48" t="s">
        <v>117</v>
      </c>
      <c r="K25" s="5" t="s">
        <v>411</v>
      </c>
      <c r="L25" s="49" t="s">
        <v>33</v>
      </c>
      <c r="M25" s="23"/>
    </row>
    <row r="26" spans="1:13" ht="50.4">
      <c r="A26" s="54" t="s">
        <v>252</v>
      </c>
      <c r="B26" s="55" t="s">
        <v>155</v>
      </c>
      <c r="C26" s="55" t="s">
        <v>156</v>
      </c>
      <c r="D26" s="55" t="s">
        <v>140</v>
      </c>
      <c r="E26" s="55" t="s">
        <v>157</v>
      </c>
      <c r="F26" s="55" t="s">
        <v>157</v>
      </c>
      <c r="G26" s="48" t="s">
        <v>117</v>
      </c>
      <c r="H26" s="5">
        <v>46085</v>
      </c>
      <c r="I26" s="49" t="s">
        <v>33</v>
      </c>
      <c r="J26" s="48" t="s">
        <v>117</v>
      </c>
      <c r="K26" s="5" t="s">
        <v>411</v>
      </c>
      <c r="L26" s="49" t="s">
        <v>33</v>
      </c>
      <c r="M26" s="23"/>
    </row>
  </sheetData>
  <mergeCells count="1">
    <mergeCell ref="B1:F1"/>
  </mergeCells>
  <phoneticPr fontId="8" type="noConversion"/>
  <conditionalFormatting sqref="G11:G16">
    <cfRule type="containsText" dxfId="110" priority="13" operator="containsText" text="Pass">
      <formula>NOT(ISERROR(SEARCH("Pass",G11)))</formula>
    </cfRule>
    <cfRule type="containsText" dxfId="109" priority="14" operator="containsText" text="Fail">
      <formula>NOT(ISERROR(SEARCH("Fail",G11)))</formula>
    </cfRule>
    <cfRule type="containsText" dxfId="108" priority="15" operator="containsText" text="Pass">
      <formula>NOT(ISERROR(SEARCH("Pass",G11)))</formula>
    </cfRule>
    <cfRule type="colorScale" priority="16">
      <colorScale>
        <cfvo type="min"/>
        <cfvo type="percentile" val="50"/>
        <cfvo type="max"/>
        <color rgb="FFF8696B"/>
        <color rgb="FFFFEB84"/>
        <color rgb="FF63BE7B"/>
      </colorScale>
    </cfRule>
  </conditionalFormatting>
  <conditionalFormatting sqref="G18:G26">
    <cfRule type="containsText" dxfId="107" priority="25" operator="containsText" text="Pass">
      <formula>NOT(ISERROR(SEARCH("Pass",G18)))</formula>
    </cfRule>
    <cfRule type="containsText" dxfId="106" priority="26" operator="containsText" text="Fail">
      <formula>NOT(ISERROR(SEARCH("Fail",G18)))</formula>
    </cfRule>
    <cfRule type="containsText" dxfId="105" priority="27" operator="containsText" text="Pass">
      <formula>NOT(ISERROR(SEARCH("Pass",G18)))</formula>
    </cfRule>
    <cfRule type="colorScale" priority="28">
      <colorScale>
        <cfvo type="min"/>
        <cfvo type="percentile" val="50"/>
        <cfvo type="max"/>
        <color rgb="FFF8696B"/>
        <color rgb="FFFFEB84"/>
        <color rgb="FF63BE7B"/>
      </colorScale>
    </cfRule>
  </conditionalFormatting>
  <conditionalFormatting sqref="J18:J26">
    <cfRule type="containsText" dxfId="104" priority="1" operator="containsText" text="Pass">
      <formula>NOT(ISERROR(SEARCH("Pass",J18)))</formula>
    </cfRule>
    <cfRule type="containsText" dxfId="103" priority="2" operator="containsText" text="Fail">
      <formula>NOT(ISERROR(SEARCH("Fail",J18)))</formula>
    </cfRule>
    <cfRule type="containsText" dxfId="102" priority="3" operator="containsText" text="Pass">
      <formula>NOT(ISERROR(SEARCH("Pass",J18)))</formula>
    </cfRule>
    <cfRule type="colorScale" priority="4">
      <colorScale>
        <cfvo type="min"/>
        <cfvo type="percentile" val="50"/>
        <cfvo type="max"/>
        <color rgb="FFF8696B"/>
        <color rgb="FFFFEB84"/>
        <color rgb="FF63BE7B"/>
      </colorScale>
    </cfRule>
  </conditionalFormatting>
  <dataValidations count="2">
    <dataValidation type="list" allowBlank="1" showErrorMessage="1" sqref="G11:G16 G18:G26 J18:J26" xr:uid="{427EE1C4-5F54-4BFE-936C-B16BA3018D5A}">
      <formula1>"Pass,Fail"</formula1>
    </dataValidation>
    <dataValidation type="list" operator="equal" allowBlank="1" showErrorMessage="1" promptTitle="dfdf" sqref="J11:J16" xr:uid="{CFF940E4-EA49-4835-BD26-2432DDD3D099}">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FA0D-8C53-435C-AD0C-9E1F82837106}">
  <dimension ref="A1:M32"/>
  <sheetViews>
    <sheetView topLeftCell="A22" zoomScale="47" zoomScaleNormal="85" workbookViewId="0">
      <selection activeCell="L24" sqref="L24:L32"/>
    </sheetView>
  </sheetViews>
  <sheetFormatPr defaultColWidth="9.109375" defaultRowHeight="16.8"/>
  <cols>
    <col min="1" max="1" width="21.33203125" style="3" bestFit="1" customWidth="1"/>
    <col min="2" max="2" width="40.6640625" style="3" bestFit="1" customWidth="1"/>
    <col min="3" max="3" width="51.44140625" style="3" customWidth="1"/>
    <col min="4" max="4" width="34.109375" style="3" customWidth="1"/>
    <col min="5" max="5" width="35.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101" t="s">
        <v>30</v>
      </c>
      <c r="C1" s="102"/>
      <c r="D1" s="102"/>
      <c r="E1" s="102"/>
      <c r="F1" s="103"/>
      <c r="G1" s="16"/>
      <c r="H1" s="35"/>
      <c r="J1" s="16"/>
    </row>
    <row r="2" spans="1:13" s="26" customFormat="1">
      <c r="A2" s="43" t="s">
        <v>7</v>
      </c>
      <c r="B2" s="42" t="s">
        <v>122</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21</v>
      </c>
      <c r="C4" s="38">
        <v>0</v>
      </c>
      <c r="D4" s="44">
        <f>COUNTIF(G11:G24,"Untested")</f>
        <v>0</v>
      </c>
      <c r="E4" s="44">
        <f>COUNTIF(G11:G24,"Blocked")</f>
        <v>0</v>
      </c>
      <c r="F4" s="38">
        <v>21</v>
      </c>
      <c r="G4" s="16"/>
      <c r="H4" s="35"/>
      <c r="J4" s="16"/>
    </row>
    <row r="5" spans="1:13" s="26" customFormat="1">
      <c r="A5" s="41" t="s">
        <v>12</v>
      </c>
      <c r="B5" s="38">
        <v>9</v>
      </c>
      <c r="C5" s="38">
        <v>0</v>
      </c>
      <c r="D5" s="44">
        <f>COUNTIF(J11:J24,"Untested")</f>
        <v>0</v>
      </c>
      <c r="E5" s="44">
        <f>COUNTIF(J11:J24,"Blocked")</f>
        <v>0</v>
      </c>
      <c r="F5" s="44">
        <v>9</v>
      </c>
      <c r="G5" s="16"/>
      <c r="H5" s="35"/>
      <c r="J5" s="16"/>
    </row>
    <row r="6" spans="1:13" s="26" customFormat="1" ht="409.6" customHeight="1">
      <c r="A6" s="37"/>
      <c r="B6" s="36"/>
      <c r="E6" s="17"/>
      <c r="G6" s="16"/>
      <c r="H6" s="35"/>
      <c r="J6" s="16"/>
    </row>
    <row r="7" spans="1:13" s="26" customFormat="1">
      <c r="A7" s="56" t="s">
        <v>13</v>
      </c>
      <c r="B7" s="56" t="s">
        <v>5</v>
      </c>
      <c r="C7" s="56" t="s">
        <v>80</v>
      </c>
      <c r="D7" s="56" t="s">
        <v>14</v>
      </c>
      <c r="E7" s="56" t="s">
        <v>15</v>
      </c>
      <c r="F7" s="56" t="s">
        <v>16</v>
      </c>
      <c r="G7" s="56" t="s">
        <v>17</v>
      </c>
      <c r="H7" s="56"/>
      <c r="I7" s="56"/>
      <c r="J7" s="56" t="s">
        <v>17</v>
      </c>
      <c r="K7" s="56"/>
      <c r="L7" s="56"/>
      <c r="M7" s="56" t="s">
        <v>18</v>
      </c>
    </row>
    <row r="8" spans="1:13" s="26" customFormat="1">
      <c r="A8" s="56"/>
      <c r="B8" s="56"/>
      <c r="C8" s="56"/>
      <c r="D8" s="56"/>
      <c r="E8" s="56"/>
      <c r="F8" s="56"/>
      <c r="G8" s="56" t="s">
        <v>19</v>
      </c>
      <c r="H8" s="56"/>
      <c r="I8" s="56"/>
      <c r="J8" s="56" t="s">
        <v>20</v>
      </c>
      <c r="K8" s="56"/>
      <c r="L8" s="56"/>
      <c r="M8" s="56"/>
    </row>
    <row r="9" spans="1:13" s="26" customFormat="1">
      <c r="A9" s="56"/>
      <c r="B9" s="56"/>
      <c r="C9" s="56"/>
      <c r="D9" s="56"/>
      <c r="E9" s="56"/>
      <c r="F9" s="56"/>
      <c r="G9" s="56" t="s">
        <v>21</v>
      </c>
      <c r="H9" s="57" t="s">
        <v>22</v>
      </c>
      <c r="I9" s="56" t="s">
        <v>23</v>
      </c>
      <c r="J9" s="56" t="s">
        <v>21</v>
      </c>
      <c r="K9" s="57" t="s">
        <v>22</v>
      </c>
      <c r="L9" s="56" t="s">
        <v>23</v>
      </c>
      <c r="M9" s="56"/>
    </row>
    <row r="10" spans="1:13" s="26" customFormat="1" ht="50.4">
      <c r="A10" s="58" t="s">
        <v>134</v>
      </c>
      <c r="B10" s="58"/>
      <c r="C10" s="58"/>
      <c r="D10" s="58"/>
      <c r="E10" s="58"/>
      <c r="F10" s="58"/>
      <c r="G10" s="58"/>
      <c r="H10" s="58"/>
      <c r="I10" s="58"/>
      <c r="J10" s="58"/>
      <c r="K10" s="58"/>
      <c r="L10" s="58"/>
      <c r="M10" s="58"/>
    </row>
    <row r="11" spans="1:13" s="26" customFormat="1" ht="33.6">
      <c r="A11" s="59" t="s">
        <v>184</v>
      </c>
      <c r="B11" s="1" t="s">
        <v>175</v>
      </c>
      <c r="C11" s="22"/>
      <c r="D11" s="22"/>
      <c r="E11" s="60" t="s">
        <v>119</v>
      </c>
      <c r="F11" s="60" t="s">
        <v>119</v>
      </c>
      <c r="G11" s="48" t="s">
        <v>117</v>
      </c>
      <c r="H11" s="5">
        <v>46085</v>
      </c>
      <c r="I11" s="49" t="s">
        <v>33</v>
      </c>
      <c r="J11" s="22"/>
      <c r="K11" s="62"/>
      <c r="L11" s="61"/>
      <c r="M11" s="22"/>
    </row>
    <row r="12" spans="1:13" s="26" customFormat="1" ht="67.2">
      <c r="A12" s="59" t="s">
        <v>185</v>
      </c>
      <c r="B12" s="1" t="s">
        <v>176</v>
      </c>
      <c r="C12" s="22"/>
      <c r="D12" s="22"/>
      <c r="E12" s="60" t="s">
        <v>118</v>
      </c>
      <c r="F12" s="60" t="s">
        <v>118</v>
      </c>
      <c r="G12" s="48" t="s">
        <v>117</v>
      </c>
      <c r="H12" s="5">
        <v>46085</v>
      </c>
      <c r="I12" s="49" t="s">
        <v>33</v>
      </c>
      <c r="J12" s="22"/>
      <c r="K12" s="62"/>
      <c r="L12" s="61"/>
      <c r="M12" s="22"/>
    </row>
    <row r="13" spans="1:13" s="26" customFormat="1" ht="67.2">
      <c r="A13" s="59" t="s">
        <v>186</v>
      </c>
      <c r="B13" s="1" t="s">
        <v>177</v>
      </c>
      <c r="C13" s="22"/>
      <c r="D13" s="22"/>
      <c r="E13" s="60" t="s">
        <v>118</v>
      </c>
      <c r="F13" s="60" t="s">
        <v>118</v>
      </c>
      <c r="G13" s="48" t="s">
        <v>117</v>
      </c>
      <c r="H13" s="5">
        <v>46085</v>
      </c>
      <c r="I13" s="49" t="s">
        <v>33</v>
      </c>
      <c r="J13" s="22"/>
      <c r="K13" s="62"/>
      <c r="L13" s="61"/>
      <c r="M13" s="22"/>
    </row>
    <row r="14" spans="1:13" s="26" customFormat="1" ht="50.4">
      <c r="A14" s="59" t="s">
        <v>187</v>
      </c>
      <c r="B14" s="1" t="s">
        <v>178</v>
      </c>
      <c r="C14" s="22"/>
      <c r="D14" s="22"/>
      <c r="E14" s="60" t="s">
        <v>131</v>
      </c>
      <c r="F14" s="60" t="s">
        <v>131</v>
      </c>
      <c r="G14" s="48" t="s">
        <v>117</v>
      </c>
      <c r="H14" s="5">
        <v>46085</v>
      </c>
      <c r="I14" s="49" t="s">
        <v>33</v>
      </c>
      <c r="J14" s="22"/>
      <c r="K14" s="62"/>
      <c r="L14" s="61"/>
      <c r="M14" s="22"/>
    </row>
    <row r="15" spans="1:13" s="26" customFormat="1" ht="50.4">
      <c r="A15" s="59" t="s">
        <v>188</v>
      </c>
      <c r="B15" s="1" t="s">
        <v>200</v>
      </c>
      <c r="C15" s="22"/>
      <c r="D15" s="22"/>
      <c r="E15" s="60" t="s">
        <v>203</v>
      </c>
      <c r="F15" s="60" t="s">
        <v>203</v>
      </c>
      <c r="G15" s="48" t="s">
        <v>117</v>
      </c>
      <c r="H15" s="5">
        <v>46085</v>
      </c>
      <c r="I15" s="49" t="s">
        <v>33</v>
      </c>
      <c r="J15" s="22"/>
      <c r="K15" s="62"/>
      <c r="L15" s="61"/>
      <c r="M15" s="22"/>
    </row>
    <row r="16" spans="1:13" ht="50.4">
      <c r="A16" s="59" t="s">
        <v>189</v>
      </c>
      <c r="B16" s="1" t="s">
        <v>195</v>
      </c>
      <c r="C16" s="1"/>
      <c r="D16" s="1"/>
      <c r="E16" s="60" t="s">
        <v>197</v>
      </c>
      <c r="F16" s="60" t="s">
        <v>197</v>
      </c>
      <c r="G16" s="48" t="s">
        <v>117</v>
      </c>
      <c r="H16" s="5">
        <v>46085</v>
      </c>
      <c r="I16" s="49" t="s">
        <v>33</v>
      </c>
      <c r="J16" s="1"/>
      <c r="K16" s="1"/>
      <c r="L16" s="1"/>
      <c r="M16" s="1"/>
    </row>
    <row r="17" spans="1:13" ht="33.6">
      <c r="A17" s="59" t="s">
        <v>190</v>
      </c>
      <c r="B17" s="1" t="s">
        <v>179</v>
      </c>
      <c r="C17" s="1"/>
      <c r="D17" s="1"/>
      <c r="E17" s="60" t="s">
        <v>196</v>
      </c>
      <c r="F17" s="60" t="s">
        <v>196</v>
      </c>
      <c r="G17" s="48" t="s">
        <v>117</v>
      </c>
      <c r="H17" s="5">
        <v>46085</v>
      </c>
      <c r="I17" s="49" t="s">
        <v>33</v>
      </c>
      <c r="J17" s="1"/>
      <c r="K17" s="1"/>
      <c r="L17" s="1"/>
      <c r="M17" s="1"/>
    </row>
    <row r="18" spans="1:13" ht="33.6">
      <c r="A18" s="59" t="s">
        <v>191</v>
      </c>
      <c r="B18" s="1" t="s">
        <v>180</v>
      </c>
      <c r="C18" s="1"/>
      <c r="D18" s="1"/>
      <c r="E18" s="60" t="s">
        <v>196</v>
      </c>
      <c r="F18" s="60" t="s">
        <v>196</v>
      </c>
      <c r="G18" s="48" t="s">
        <v>117</v>
      </c>
      <c r="H18" s="5">
        <v>46085</v>
      </c>
      <c r="I18" s="49" t="s">
        <v>33</v>
      </c>
      <c r="J18" s="1"/>
      <c r="K18" s="1"/>
      <c r="L18" s="1"/>
      <c r="M18" s="1"/>
    </row>
    <row r="19" spans="1:13" ht="33.6">
      <c r="A19" s="59" t="s">
        <v>192</v>
      </c>
      <c r="B19" s="1" t="s">
        <v>181</v>
      </c>
      <c r="C19" s="1"/>
      <c r="D19" s="1"/>
      <c r="E19" s="60" t="s">
        <v>196</v>
      </c>
      <c r="F19" s="60" t="s">
        <v>196</v>
      </c>
      <c r="G19" s="48" t="s">
        <v>117</v>
      </c>
      <c r="H19" s="5">
        <v>46085</v>
      </c>
      <c r="I19" s="49" t="s">
        <v>33</v>
      </c>
      <c r="J19" s="1"/>
      <c r="K19" s="1"/>
      <c r="L19" s="1"/>
      <c r="M19" s="1"/>
    </row>
    <row r="20" spans="1:13" ht="50.4">
      <c r="A20" s="59" t="s">
        <v>193</v>
      </c>
      <c r="B20" s="1" t="s">
        <v>182</v>
      </c>
      <c r="C20" s="1"/>
      <c r="D20" s="1"/>
      <c r="E20" s="60" t="s">
        <v>201</v>
      </c>
      <c r="F20" s="60" t="s">
        <v>201</v>
      </c>
      <c r="G20" s="48" t="s">
        <v>117</v>
      </c>
      <c r="H20" s="5">
        <v>46085</v>
      </c>
      <c r="I20" s="49" t="s">
        <v>33</v>
      </c>
      <c r="J20" s="1"/>
      <c r="K20" s="1"/>
      <c r="L20" s="1"/>
      <c r="M20" s="1"/>
    </row>
    <row r="21" spans="1:13" ht="50.4">
      <c r="A21" s="59" t="s">
        <v>194</v>
      </c>
      <c r="B21" s="1" t="s">
        <v>183</v>
      </c>
      <c r="C21" s="1"/>
      <c r="D21" s="1"/>
      <c r="E21" s="60" t="s">
        <v>202</v>
      </c>
      <c r="F21" s="60" t="s">
        <v>202</v>
      </c>
      <c r="G21" s="48" t="s">
        <v>117</v>
      </c>
      <c r="H21" s="5">
        <v>46085</v>
      </c>
      <c r="I21" s="49" t="s">
        <v>33</v>
      </c>
      <c r="J21" s="1"/>
      <c r="K21" s="1"/>
      <c r="L21" s="1"/>
      <c r="M21" s="1"/>
    </row>
    <row r="22" spans="1:13" ht="50.4">
      <c r="A22" s="59" t="s">
        <v>198</v>
      </c>
      <c r="B22" s="1" t="s">
        <v>199</v>
      </c>
      <c r="C22" s="1"/>
      <c r="D22" s="1"/>
      <c r="E22" s="60" t="s">
        <v>131</v>
      </c>
      <c r="F22" s="60" t="s">
        <v>131</v>
      </c>
      <c r="G22" s="48" t="s">
        <v>117</v>
      </c>
      <c r="H22" s="5">
        <v>46085</v>
      </c>
      <c r="I22" s="49" t="s">
        <v>33</v>
      </c>
      <c r="J22" s="1"/>
      <c r="K22" s="1"/>
      <c r="L22" s="1"/>
      <c r="M22" s="1"/>
    </row>
    <row r="23" spans="1:13" s="26" customFormat="1" ht="50.4">
      <c r="A23" s="58" t="s">
        <v>135</v>
      </c>
      <c r="B23" s="58"/>
      <c r="C23" s="58"/>
      <c r="D23" s="58"/>
      <c r="E23" s="58"/>
      <c r="F23" s="58"/>
      <c r="G23" s="69"/>
      <c r="H23" s="69"/>
      <c r="I23" s="69"/>
      <c r="J23" s="58"/>
      <c r="K23" s="58"/>
      <c r="L23" s="58"/>
      <c r="M23" s="58"/>
    </row>
    <row r="24" spans="1:13" s="26" customFormat="1" ht="117.6">
      <c r="A24" s="1" t="s">
        <v>236</v>
      </c>
      <c r="B24" s="1" t="s">
        <v>233</v>
      </c>
      <c r="C24" s="1" t="s">
        <v>235</v>
      </c>
      <c r="D24" s="1" t="s">
        <v>234</v>
      </c>
      <c r="E24" s="1" t="s">
        <v>237</v>
      </c>
      <c r="F24" s="1" t="s">
        <v>237</v>
      </c>
      <c r="G24" s="48" t="s">
        <v>117</v>
      </c>
      <c r="H24" s="5">
        <v>46085</v>
      </c>
      <c r="I24" s="49" t="s">
        <v>33</v>
      </c>
      <c r="J24" s="48" t="s">
        <v>117</v>
      </c>
      <c r="K24" s="5" t="s">
        <v>411</v>
      </c>
      <c r="L24" s="49" t="s">
        <v>33</v>
      </c>
      <c r="M24" s="22"/>
    </row>
    <row r="25" spans="1:13" s="26" customFormat="1" ht="84">
      <c r="A25" s="1" t="s">
        <v>240</v>
      </c>
      <c r="B25" s="1" t="s">
        <v>210</v>
      </c>
      <c r="C25" s="1" t="s">
        <v>232</v>
      </c>
      <c r="D25" s="1" t="s">
        <v>211</v>
      </c>
      <c r="E25" s="1" t="s">
        <v>238</v>
      </c>
      <c r="F25" s="1" t="s">
        <v>238</v>
      </c>
      <c r="G25" s="48" t="s">
        <v>117</v>
      </c>
      <c r="H25" s="5">
        <v>46085</v>
      </c>
      <c r="I25" s="49" t="s">
        <v>33</v>
      </c>
      <c r="J25" s="48" t="s">
        <v>117</v>
      </c>
      <c r="K25" s="5" t="s">
        <v>411</v>
      </c>
      <c r="L25" s="49" t="s">
        <v>33</v>
      </c>
      <c r="M25" s="22"/>
    </row>
    <row r="26" spans="1:13" s="26" customFormat="1" ht="50.4">
      <c r="A26" s="1" t="s">
        <v>241</v>
      </c>
      <c r="B26" s="1" t="s">
        <v>204</v>
      </c>
      <c r="C26" s="1" t="s">
        <v>212</v>
      </c>
      <c r="D26" s="1" t="s">
        <v>213</v>
      </c>
      <c r="E26" s="1" t="s">
        <v>214</v>
      </c>
      <c r="F26" s="1" t="s">
        <v>214</v>
      </c>
      <c r="G26" s="48" t="s">
        <v>117</v>
      </c>
      <c r="H26" s="5">
        <v>46085</v>
      </c>
      <c r="I26" s="49" t="s">
        <v>33</v>
      </c>
      <c r="J26" s="48" t="s">
        <v>117</v>
      </c>
      <c r="K26" s="5" t="s">
        <v>411</v>
      </c>
      <c r="L26" s="49" t="s">
        <v>33</v>
      </c>
      <c r="M26" s="22"/>
    </row>
    <row r="27" spans="1:13" s="26" customFormat="1" ht="50.4">
      <c r="A27" s="1" t="s">
        <v>242</v>
      </c>
      <c r="B27" s="1" t="s">
        <v>205</v>
      </c>
      <c r="C27" s="1" t="s">
        <v>215</v>
      </c>
      <c r="D27" s="1" t="s">
        <v>216</v>
      </c>
      <c r="E27" s="1" t="s">
        <v>217</v>
      </c>
      <c r="F27" s="1" t="s">
        <v>217</v>
      </c>
      <c r="G27" s="48" t="s">
        <v>117</v>
      </c>
      <c r="H27" s="5">
        <v>46085</v>
      </c>
      <c r="I27" s="49" t="s">
        <v>33</v>
      </c>
      <c r="J27" s="48" t="s">
        <v>117</v>
      </c>
      <c r="K27" s="5" t="s">
        <v>411</v>
      </c>
      <c r="L27" s="49" t="s">
        <v>33</v>
      </c>
      <c r="M27" s="22"/>
    </row>
    <row r="28" spans="1:13" s="26" customFormat="1" ht="33.6">
      <c r="A28" s="1" t="s">
        <v>243</v>
      </c>
      <c r="B28" s="1" t="s">
        <v>206</v>
      </c>
      <c r="C28" s="1" t="s">
        <v>218</v>
      </c>
      <c r="D28" s="1" t="s">
        <v>216</v>
      </c>
      <c r="E28" s="1" t="s">
        <v>219</v>
      </c>
      <c r="F28" s="1" t="s">
        <v>219</v>
      </c>
      <c r="G28" s="48" t="s">
        <v>117</v>
      </c>
      <c r="H28" s="5">
        <v>46085</v>
      </c>
      <c r="I28" s="49" t="s">
        <v>33</v>
      </c>
      <c r="J28" s="48" t="s">
        <v>117</v>
      </c>
      <c r="K28" s="5" t="s">
        <v>411</v>
      </c>
      <c r="L28" s="49" t="s">
        <v>33</v>
      </c>
      <c r="M28" s="22"/>
    </row>
    <row r="29" spans="1:13" s="26" customFormat="1" ht="33.6">
      <c r="A29" s="1" t="s">
        <v>244</v>
      </c>
      <c r="B29" s="1" t="s">
        <v>207</v>
      </c>
      <c r="C29" s="1" t="s">
        <v>220</v>
      </c>
      <c r="D29" s="1" t="s">
        <v>221</v>
      </c>
      <c r="E29" s="1" t="s">
        <v>222</v>
      </c>
      <c r="F29" s="1" t="s">
        <v>222</v>
      </c>
      <c r="G29" s="48" t="s">
        <v>117</v>
      </c>
      <c r="H29" s="5">
        <v>46085</v>
      </c>
      <c r="I29" s="49" t="s">
        <v>33</v>
      </c>
      <c r="J29" s="48" t="s">
        <v>117</v>
      </c>
      <c r="K29" s="5" t="s">
        <v>411</v>
      </c>
      <c r="L29" s="49" t="s">
        <v>33</v>
      </c>
      <c r="M29" s="22"/>
    </row>
    <row r="30" spans="1:13" ht="50.7" customHeight="1">
      <c r="A30" s="1" t="s">
        <v>245</v>
      </c>
      <c r="B30" s="1" t="s">
        <v>208</v>
      </c>
      <c r="C30" s="1" t="s">
        <v>223</v>
      </c>
      <c r="D30" s="1" t="s">
        <v>224</v>
      </c>
      <c r="E30" s="1" t="s">
        <v>225</v>
      </c>
      <c r="F30" s="1" t="s">
        <v>225</v>
      </c>
      <c r="G30" s="48" t="s">
        <v>117</v>
      </c>
      <c r="H30" s="5">
        <v>46085</v>
      </c>
      <c r="I30" s="49" t="s">
        <v>33</v>
      </c>
      <c r="J30" s="48" t="s">
        <v>117</v>
      </c>
      <c r="K30" s="5" t="s">
        <v>411</v>
      </c>
      <c r="L30" s="49" t="s">
        <v>33</v>
      </c>
      <c r="M30" s="22"/>
    </row>
    <row r="31" spans="1:13" ht="100.8">
      <c r="A31" s="1" t="s">
        <v>246</v>
      </c>
      <c r="B31" s="1" t="s">
        <v>226</v>
      </c>
      <c r="C31" s="1" t="s">
        <v>227</v>
      </c>
      <c r="D31" s="1" t="s">
        <v>228</v>
      </c>
      <c r="E31" s="63" t="s">
        <v>239</v>
      </c>
      <c r="F31" s="63" t="s">
        <v>239</v>
      </c>
      <c r="G31" s="48" t="s">
        <v>117</v>
      </c>
      <c r="H31" s="5">
        <v>46085</v>
      </c>
      <c r="I31" s="49" t="s">
        <v>33</v>
      </c>
      <c r="J31" s="48" t="s">
        <v>117</v>
      </c>
      <c r="K31" s="5" t="s">
        <v>411</v>
      </c>
      <c r="L31" s="49" t="s">
        <v>33</v>
      </c>
      <c r="M31" s="22"/>
    </row>
    <row r="32" spans="1:13" ht="33.6">
      <c r="A32" s="1" t="s">
        <v>247</v>
      </c>
      <c r="B32" s="1" t="s">
        <v>209</v>
      </c>
      <c r="C32" s="1" t="s">
        <v>229</v>
      </c>
      <c r="D32" s="1" t="s">
        <v>230</v>
      </c>
      <c r="E32" s="1" t="s">
        <v>231</v>
      </c>
      <c r="F32" s="1" t="s">
        <v>231</v>
      </c>
      <c r="G32" s="48" t="s">
        <v>117</v>
      </c>
      <c r="H32" s="5">
        <v>46085</v>
      </c>
      <c r="I32" s="49" t="s">
        <v>33</v>
      </c>
      <c r="J32" s="48" t="s">
        <v>117</v>
      </c>
      <c r="K32" s="5" t="s">
        <v>411</v>
      </c>
      <c r="L32" s="49" t="s">
        <v>33</v>
      </c>
      <c r="M32" s="1"/>
    </row>
  </sheetData>
  <mergeCells count="1">
    <mergeCell ref="B1:F1"/>
  </mergeCells>
  <phoneticPr fontId="8" type="noConversion"/>
  <conditionalFormatting sqref="G11:G22">
    <cfRule type="containsText" dxfId="101" priority="33" operator="containsText" text="Pass">
      <formula>NOT(ISERROR(SEARCH("Pass",G11)))</formula>
    </cfRule>
    <cfRule type="containsText" dxfId="100" priority="34" operator="containsText" text="Fail">
      <formula>NOT(ISERROR(SEARCH("Fail",G11)))</formula>
    </cfRule>
    <cfRule type="containsText" dxfId="99" priority="35" operator="containsText" text="Pass">
      <formula>NOT(ISERROR(SEARCH("Pass",G11)))</formula>
    </cfRule>
    <cfRule type="colorScale" priority="36">
      <colorScale>
        <cfvo type="min"/>
        <cfvo type="percentile" val="50"/>
        <cfvo type="max"/>
        <color rgb="FFF8696B"/>
        <color rgb="FFFFEB84"/>
        <color rgb="FF63BE7B"/>
      </colorScale>
    </cfRule>
  </conditionalFormatting>
  <conditionalFormatting sqref="G24:G32">
    <cfRule type="containsText" dxfId="98" priority="37" operator="containsText" text="Pass">
      <formula>NOT(ISERROR(SEARCH("Pass",G24)))</formula>
    </cfRule>
    <cfRule type="containsText" dxfId="97" priority="38" operator="containsText" text="Fail">
      <formula>NOT(ISERROR(SEARCH("Fail",G24)))</formula>
    </cfRule>
    <cfRule type="containsText" dxfId="96" priority="39" operator="containsText" text="Pass">
      <formula>NOT(ISERROR(SEARCH("Pass",G24)))</formula>
    </cfRule>
    <cfRule type="colorScale" priority="40">
      <colorScale>
        <cfvo type="min"/>
        <cfvo type="percentile" val="50"/>
        <cfvo type="max"/>
        <color rgb="FFF8696B"/>
        <color rgb="FFFFEB84"/>
        <color rgb="FF63BE7B"/>
      </colorScale>
    </cfRule>
  </conditionalFormatting>
  <conditionalFormatting sqref="J24:J32">
    <cfRule type="containsText" dxfId="95" priority="1" operator="containsText" text="Pass">
      <formula>NOT(ISERROR(SEARCH("Pass",J24)))</formula>
    </cfRule>
    <cfRule type="containsText" dxfId="94" priority="2" operator="containsText" text="Fail">
      <formula>NOT(ISERROR(SEARCH("Fail",J24)))</formula>
    </cfRule>
    <cfRule type="containsText" dxfId="93" priority="3" operator="containsText" text="Pass">
      <formula>NOT(ISERROR(SEARCH("Pass",J24)))</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15" xr:uid="{B6FEAD32-557B-470D-9BD6-B98305BA0618}">
      <formula1>"Passed,Untested,Failed,Blocked"</formula1>
      <formula2>0</formula2>
    </dataValidation>
    <dataValidation type="list" allowBlank="1" showErrorMessage="1" sqref="G11:G22 G24:G32 J24:J32" xr:uid="{0CD38FBF-FEB4-4ABD-A451-13457F507188}">
      <formula1>"Pass,Fail"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A0F0-02F3-43C2-BAB5-B921F838C16B}">
  <dimension ref="A1:M35"/>
  <sheetViews>
    <sheetView topLeftCell="A20" zoomScale="40" zoomScaleNormal="40" workbookViewId="0">
      <selection activeCell="I11" sqref="I11"/>
    </sheetView>
  </sheetViews>
  <sheetFormatPr defaultColWidth="9.109375" defaultRowHeight="16.8"/>
  <cols>
    <col min="1" max="1" width="21.33203125" style="3" bestFit="1" customWidth="1"/>
    <col min="2" max="2" width="40.6640625" style="3" bestFit="1" customWidth="1"/>
    <col min="3" max="3" width="51.44140625" style="3" customWidth="1"/>
    <col min="4" max="4" width="34.109375" style="3" customWidth="1"/>
    <col min="5" max="5" width="38.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101" t="s">
        <v>30</v>
      </c>
      <c r="C1" s="102"/>
      <c r="D1" s="102"/>
      <c r="E1" s="102"/>
      <c r="F1" s="103"/>
      <c r="G1" s="16"/>
      <c r="H1" s="35"/>
      <c r="J1" s="16"/>
    </row>
    <row r="2" spans="1:13" s="26" customFormat="1">
      <c r="A2" s="43" t="s">
        <v>7</v>
      </c>
      <c r="B2" s="42" t="s">
        <v>350</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24</v>
      </c>
      <c r="C4" s="38">
        <v>0</v>
      </c>
      <c r="D4" s="44">
        <f>COUNTIF(G11:G28,"Untested")</f>
        <v>0</v>
      </c>
      <c r="E4" s="44">
        <f>COUNTIF(G11:G28,"Blocked")</f>
        <v>0</v>
      </c>
      <c r="F4" s="38">
        <v>24</v>
      </c>
      <c r="G4" s="16"/>
      <c r="H4" s="35"/>
      <c r="J4" s="16"/>
    </row>
    <row r="5" spans="1:13" s="26" customFormat="1">
      <c r="A5" s="41" t="s">
        <v>12</v>
      </c>
      <c r="B5" s="38">
        <v>9</v>
      </c>
      <c r="C5" s="38">
        <v>0</v>
      </c>
      <c r="D5" s="44">
        <f>COUNTIF(J11:J28,"Untested")</f>
        <v>0</v>
      </c>
      <c r="E5" s="44">
        <f>COUNTIF(J11:J28,"Blocked")</f>
        <v>0</v>
      </c>
      <c r="F5" s="44">
        <v>9</v>
      </c>
      <c r="G5" s="16"/>
      <c r="H5" s="35"/>
      <c r="J5" s="16"/>
    </row>
    <row r="6" spans="1:13" s="26" customFormat="1" ht="409.6" customHeight="1">
      <c r="A6" s="37"/>
      <c r="B6" s="36"/>
      <c r="E6" s="17"/>
      <c r="G6" s="16"/>
      <c r="H6" s="35"/>
      <c r="J6" s="16"/>
    </row>
    <row r="7" spans="1:13" s="26" customFormat="1">
      <c r="A7" s="32" t="s">
        <v>13</v>
      </c>
      <c r="B7" s="32" t="s">
        <v>5</v>
      </c>
      <c r="C7" s="32" t="s">
        <v>80</v>
      </c>
      <c r="D7" s="32" t="s">
        <v>14</v>
      </c>
      <c r="E7" s="32" t="s">
        <v>15</v>
      </c>
      <c r="F7" s="32" t="s">
        <v>16</v>
      </c>
      <c r="G7" s="32" t="s">
        <v>17</v>
      </c>
      <c r="H7" s="32"/>
      <c r="I7" s="32"/>
      <c r="J7" s="32" t="s">
        <v>17</v>
      </c>
      <c r="K7" s="32"/>
      <c r="L7" s="32"/>
      <c r="M7" s="32" t="s">
        <v>18</v>
      </c>
    </row>
    <row r="8" spans="1:13" s="26" customFormat="1">
      <c r="A8" s="32"/>
      <c r="B8" s="32"/>
      <c r="C8" s="32"/>
      <c r="D8" s="32"/>
      <c r="E8" s="32"/>
      <c r="F8" s="32"/>
      <c r="G8" s="32" t="s">
        <v>19</v>
      </c>
      <c r="H8" s="32"/>
      <c r="I8" s="32"/>
      <c r="J8" s="32" t="s">
        <v>20</v>
      </c>
      <c r="K8" s="32"/>
      <c r="L8" s="32"/>
      <c r="M8" s="32"/>
    </row>
    <row r="9" spans="1:13" s="26" customFormat="1">
      <c r="A9" s="32"/>
      <c r="B9" s="32"/>
      <c r="C9" s="32"/>
      <c r="D9" s="32"/>
      <c r="E9" s="32"/>
      <c r="F9" s="32"/>
      <c r="G9" s="34" t="s">
        <v>21</v>
      </c>
      <c r="H9" s="33" t="s">
        <v>22</v>
      </c>
      <c r="I9" s="32" t="s">
        <v>23</v>
      </c>
      <c r="J9" s="34" t="s">
        <v>21</v>
      </c>
      <c r="K9" s="33" t="s">
        <v>22</v>
      </c>
      <c r="L9" s="32" t="s">
        <v>23</v>
      </c>
      <c r="M9" s="32"/>
    </row>
    <row r="10" spans="1:13" s="26" customFormat="1">
      <c r="A10" s="31" t="s">
        <v>261</v>
      </c>
      <c r="B10" s="45"/>
      <c r="C10" s="45"/>
      <c r="D10" s="45"/>
      <c r="E10" s="45"/>
      <c r="F10" s="45"/>
      <c r="G10" s="45"/>
      <c r="H10" s="45"/>
      <c r="I10" s="45"/>
      <c r="J10" s="45"/>
      <c r="K10" s="45"/>
      <c r="L10" s="45"/>
      <c r="M10" s="45"/>
    </row>
    <row r="11" spans="1:13" s="26" customFormat="1" ht="67.2">
      <c r="A11" s="46" t="s">
        <v>262</v>
      </c>
      <c r="B11" s="6" t="s">
        <v>25</v>
      </c>
      <c r="C11" s="64"/>
      <c r="D11" s="23"/>
      <c r="E11" s="65" t="s">
        <v>275</v>
      </c>
      <c r="F11" s="65" t="s">
        <v>275</v>
      </c>
      <c r="G11" s="48" t="s">
        <v>117</v>
      </c>
      <c r="H11" s="5">
        <v>46085</v>
      </c>
      <c r="I11" s="49" t="s">
        <v>33</v>
      </c>
      <c r="J11" s="50"/>
      <c r="K11" s="51"/>
      <c r="L11" s="52"/>
      <c r="M11" s="23"/>
    </row>
    <row r="12" spans="1:13" s="26" customFormat="1" ht="84">
      <c r="A12" s="46" t="s">
        <v>263</v>
      </c>
      <c r="B12" s="6" t="s">
        <v>253</v>
      </c>
      <c r="C12" s="64"/>
      <c r="D12" s="23"/>
      <c r="E12" s="65" t="s">
        <v>276</v>
      </c>
      <c r="F12" s="65" t="s">
        <v>276</v>
      </c>
      <c r="G12" s="48" t="s">
        <v>117</v>
      </c>
      <c r="H12" s="5">
        <v>46085</v>
      </c>
      <c r="I12" s="49" t="s">
        <v>33</v>
      </c>
      <c r="J12" s="50"/>
      <c r="K12" s="51"/>
      <c r="L12" s="52"/>
      <c r="M12" s="23"/>
    </row>
    <row r="13" spans="1:13" s="26" customFormat="1" ht="50.4">
      <c r="A13" s="46" t="s">
        <v>264</v>
      </c>
      <c r="B13" s="6" t="s">
        <v>254</v>
      </c>
      <c r="C13" s="64"/>
      <c r="D13" s="23"/>
      <c r="E13" s="65" t="s">
        <v>272</v>
      </c>
      <c r="F13" s="65" t="s">
        <v>272</v>
      </c>
      <c r="G13" s="48" t="s">
        <v>117</v>
      </c>
      <c r="H13" s="5">
        <v>46085</v>
      </c>
      <c r="I13" s="49" t="s">
        <v>33</v>
      </c>
      <c r="J13" s="50"/>
      <c r="K13" s="51"/>
      <c r="L13" s="52"/>
      <c r="M13" s="23"/>
    </row>
    <row r="14" spans="1:13" s="26" customFormat="1" ht="50.4">
      <c r="A14" s="46" t="s">
        <v>265</v>
      </c>
      <c r="B14" s="6" t="s">
        <v>255</v>
      </c>
      <c r="C14" s="64"/>
      <c r="D14" s="23"/>
      <c r="E14" s="65" t="s">
        <v>271</v>
      </c>
      <c r="F14" s="65" t="s">
        <v>271</v>
      </c>
      <c r="G14" s="48" t="s">
        <v>117</v>
      </c>
      <c r="H14" s="5">
        <v>46085</v>
      </c>
      <c r="I14" s="49" t="s">
        <v>33</v>
      </c>
      <c r="J14" s="50"/>
      <c r="K14" s="51"/>
      <c r="L14" s="52"/>
      <c r="M14" s="23"/>
    </row>
    <row r="15" spans="1:13" s="26" customFormat="1" ht="50.4">
      <c r="A15" s="46" t="s">
        <v>266</v>
      </c>
      <c r="B15" s="6" t="s">
        <v>256</v>
      </c>
      <c r="C15" s="64"/>
      <c r="D15" s="23"/>
      <c r="E15" s="65" t="s">
        <v>277</v>
      </c>
      <c r="F15" s="65" t="s">
        <v>277</v>
      </c>
      <c r="G15" s="48" t="s">
        <v>117</v>
      </c>
      <c r="H15" s="5">
        <v>46085</v>
      </c>
      <c r="I15" s="49" t="s">
        <v>33</v>
      </c>
      <c r="J15" s="50"/>
      <c r="K15" s="51"/>
      <c r="L15" s="52"/>
      <c r="M15" s="23"/>
    </row>
    <row r="16" spans="1:13" s="26" customFormat="1" ht="52.05" customHeight="1">
      <c r="A16" s="46" t="s">
        <v>267</v>
      </c>
      <c r="B16" s="6" t="s">
        <v>257</v>
      </c>
      <c r="C16" s="64"/>
      <c r="D16" s="23"/>
      <c r="E16" s="65" t="s">
        <v>273</v>
      </c>
      <c r="F16" s="65" t="s">
        <v>273</v>
      </c>
      <c r="G16" s="48" t="s">
        <v>117</v>
      </c>
      <c r="H16" s="5">
        <v>46085</v>
      </c>
      <c r="I16" s="49" t="s">
        <v>33</v>
      </c>
      <c r="J16" s="50"/>
      <c r="K16" s="51"/>
      <c r="L16" s="52"/>
      <c r="M16" s="23"/>
    </row>
    <row r="17" spans="1:13" s="26" customFormat="1" ht="50.4">
      <c r="A17" s="46" t="s">
        <v>268</v>
      </c>
      <c r="B17" s="6" t="s">
        <v>258</v>
      </c>
      <c r="C17" s="64"/>
      <c r="D17" s="23"/>
      <c r="E17" s="65" t="s">
        <v>273</v>
      </c>
      <c r="F17" s="65" t="s">
        <v>273</v>
      </c>
      <c r="G17" s="48" t="s">
        <v>117</v>
      </c>
      <c r="H17" s="5">
        <v>46085</v>
      </c>
      <c r="I17" s="49" t="s">
        <v>33</v>
      </c>
      <c r="J17" s="50"/>
      <c r="K17" s="51"/>
      <c r="L17" s="52"/>
      <c r="M17" s="23"/>
    </row>
    <row r="18" spans="1:13" s="26" customFormat="1" ht="67.2">
      <c r="A18" s="46" t="s">
        <v>269</v>
      </c>
      <c r="B18" s="6" t="s">
        <v>259</v>
      </c>
      <c r="C18" s="64"/>
      <c r="D18" s="23"/>
      <c r="E18" s="65" t="s">
        <v>278</v>
      </c>
      <c r="F18" s="65" t="s">
        <v>278</v>
      </c>
      <c r="G18" s="48" t="s">
        <v>117</v>
      </c>
      <c r="H18" s="5">
        <v>46085</v>
      </c>
      <c r="I18" s="49" t="s">
        <v>33</v>
      </c>
      <c r="J18" s="50"/>
      <c r="K18" s="51"/>
      <c r="L18" s="52"/>
      <c r="M18" s="23"/>
    </row>
    <row r="19" spans="1:13" s="26" customFormat="1" ht="50.4">
      <c r="A19" s="46" t="s">
        <v>270</v>
      </c>
      <c r="B19" s="6" t="s">
        <v>260</v>
      </c>
      <c r="C19" s="64"/>
      <c r="D19" s="23"/>
      <c r="E19" s="65" t="s">
        <v>274</v>
      </c>
      <c r="F19" s="65" t="s">
        <v>274</v>
      </c>
      <c r="G19" s="48" t="s">
        <v>117</v>
      </c>
      <c r="H19" s="5">
        <v>46085</v>
      </c>
      <c r="I19" s="49" t="s">
        <v>33</v>
      </c>
      <c r="J19" s="50"/>
      <c r="K19" s="51"/>
      <c r="L19" s="52"/>
      <c r="M19" s="23"/>
    </row>
    <row r="20" spans="1:13" s="26" customFormat="1" ht="67.2">
      <c r="A20" s="46" t="s">
        <v>351</v>
      </c>
      <c r="B20" s="6" t="s">
        <v>28</v>
      </c>
      <c r="C20" s="23"/>
      <c r="D20" s="23"/>
      <c r="E20" s="47" t="s">
        <v>132</v>
      </c>
      <c r="F20" s="47" t="s">
        <v>132</v>
      </c>
      <c r="G20" s="48" t="s">
        <v>117</v>
      </c>
      <c r="H20" s="5">
        <v>46085</v>
      </c>
      <c r="I20" s="49" t="s">
        <v>33</v>
      </c>
      <c r="J20" s="50"/>
      <c r="K20" s="51"/>
      <c r="L20" s="52"/>
      <c r="M20" s="23"/>
    </row>
    <row r="21" spans="1:13" s="26" customFormat="1" ht="67.2">
      <c r="A21" s="46" t="s">
        <v>352</v>
      </c>
      <c r="B21" s="6" t="s">
        <v>29</v>
      </c>
      <c r="C21" s="23"/>
      <c r="D21" s="23"/>
      <c r="E21" s="47" t="s">
        <v>133</v>
      </c>
      <c r="F21" s="47" t="s">
        <v>133</v>
      </c>
      <c r="G21" s="48" t="s">
        <v>117</v>
      </c>
      <c r="H21" s="5">
        <v>46085</v>
      </c>
      <c r="I21" s="49" t="s">
        <v>33</v>
      </c>
      <c r="J21" s="50"/>
      <c r="K21" s="51"/>
      <c r="L21" s="52"/>
      <c r="M21" s="23"/>
    </row>
    <row r="22" spans="1:13" s="26" customFormat="1" ht="52.05" customHeight="1">
      <c r="A22" s="46" t="s">
        <v>353</v>
      </c>
      <c r="B22" s="6" t="s">
        <v>257</v>
      </c>
      <c r="C22" s="64"/>
      <c r="D22" s="23"/>
      <c r="E22" s="65" t="s">
        <v>273</v>
      </c>
      <c r="F22" s="65" t="s">
        <v>273</v>
      </c>
      <c r="G22" s="48" t="s">
        <v>117</v>
      </c>
      <c r="H22" s="5">
        <v>46085</v>
      </c>
      <c r="I22" s="49" t="s">
        <v>33</v>
      </c>
      <c r="J22" s="50"/>
      <c r="K22" s="51"/>
      <c r="L22" s="52"/>
      <c r="M22" s="23"/>
    </row>
    <row r="23" spans="1:13" s="26" customFormat="1" ht="50.4">
      <c r="A23" s="46" t="s">
        <v>354</v>
      </c>
      <c r="B23" s="6" t="s">
        <v>283</v>
      </c>
      <c r="C23" s="64"/>
      <c r="D23" s="23"/>
      <c r="E23" s="65" t="s">
        <v>273</v>
      </c>
      <c r="F23" s="65" t="s">
        <v>273</v>
      </c>
      <c r="G23" s="48" t="s">
        <v>117</v>
      </c>
      <c r="H23" s="5">
        <v>46085</v>
      </c>
      <c r="I23" s="49" t="s">
        <v>33</v>
      </c>
      <c r="J23" s="50"/>
      <c r="K23" s="51"/>
      <c r="L23" s="52"/>
      <c r="M23" s="23"/>
    </row>
    <row r="24" spans="1:13" s="26" customFormat="1" ht="50.4">
      <c r="A24" s="46" t="s">
        <v>355</v>
      </c>
      <c r="B24" s="6" t="s">
        <v>280</v>
      </c>
      <c r="C24" s="23"/>
      <c r="D24" s="23"/>
      <c r="E24" s="47" t="s">
        <v>282</v>
      </c>
      <c r="F24" s="47" t="s">
        <v>282</v>
      </c>
      <c r="G24" s="48" t="s">
        <v>117</v>
      </c>
      <c r="H24" s="5">
        <v>46085</v>
      </c>
      <c r="I24" s="49" t="s">
        <v>33</v>
      </c>
      <c r="J24" s="50"/>
      <c r="K24" s="51"/>
      <c r="L24" s="52"/>
      <c r="M24" s="23"/>
    </row>
    <row r="25" spans="1:13" s="26" customFormat="1" ht="50.4">
      <c r="A25" s="46" t="s">
        <v>356</v>
      </c>
      <c r="B25" s="6" t="s">
        <v>281</v>
      </c>
      <c r="C25" s="23"/>
      <c r="D25" s="23"/>
      <c r="E25" s="47" t="s">
        <v>203</v>
      </c>
      <c r="F25" s="47" t="s">
        <v>203</v>
      </c>
      <c r="G25" s="48" t="s">
        <v>117</v>
      </c>
      <c r="H25" s="5">
        <v>46085</v>
      </c>
      <c r="I25" s="49" t="s">
        <v>33</v>
      </c>
      <c r="J25" s="50"/>
      <c r="K25" s="51"/>
      <c r="L25" s="52"/>
      <c r="M25" s="23"/>
    </row>
    <row r="26" spans="1:13" s="26" customFormat="1">
      <c r="A26" s="27" t="s">
        <v>279</v>
      </c>
      <c r="B26" s="53"/>
      <c r="C26" s="53"/>
      <c r="D26" s="53"/>
      <c r="E26" s="53"/>
      <c r="F26" s="53"/>
      <c r="G26" s="53"/>
      <c r="H26" s="53"/>
      <c r="I26" s="53"/>
      <c r="J26" s="53"/>
      <c r="K26" s="53"/>
      <c r="L26" s="53"/>
      <c r="M26" s="53"/>
    </row>
    <row r="27" spans="1:13" s="26" customFormat="1" ht="67.2">
      <c r="A27" s="54" t="s">
        <v>306</v>
      </c>
      <c r="B27" s="1" t="s">
        <v>284</v>
      </c>
      <c r="C27" s="1" t="s">
        <v>298</v>
      </c>
      <c r="D27" s="1" t="s">
        <v>293</v>
      </c>
      <c r="E27" s="63" t="s">
        <v>323</v>
      </c>
      <c r="F27" s="63" t="s">
        <v>323</v>
      </c>
      <c r="G27" s="48" t="s">
        <v>117</v>
      </c>
      <c r="H27" s="5">
        <v>46085</v>
      </c>
      <c r="I27" s="49" t="s">
        <v>33</v>
      </c>
      <c r="J27" s="48" t="s">
        <v>117</v>
      </c>
      <c r="K27" s="5" t="s">
        <v>411</v>
      </c>
      <c r="L27" s="49" t="s">
        <v>33</v>
      </c>
      <c r="M27" s="23"/>
    </row>
    <row r="28" spans="1:13" s="26" customFormat="1" ht="67.2">
      <c r="A28" s="54" t="s">
        <v>307</v>
      </c>
      <c r="B28" s="1" t="s">
        <v>285</v>
      </c>
      <c r="C28" s="1" t="s">
        <v>299</v>
      </c>
      <c r="D28" s="1" t="s">
        <v>294</v>
      </c>
      <c r="E28" s="63" t="s">
        <v>324</v>
      </c>
      <c r="F28" s="63" t="s">
        <v>322</v>
      </c>
      <c r="G28" s="48" t="s">
        <v>117</v>
      </c>
      <c r="H28" s="5">
        <v>46085</v>
      </c>
      <c r="I28" s="49" t="s">
        <v>33</v>
      </c>
      <c r="J28" s="48" t="s">
        <v>117</v>
      </c>
      <c r="K28" s="5" t="s">
        <v>411</v>
      </c>
      <c r="L28" s="49" t="s">
        <v>33</v>
      </c>
      <c r="M28" s="23"/>
    </row>
    <row r="29" spans="1:13" s="26" customFormat="1" ht="33.6">
      <c r="A29" s="54" t="s">
        <v>308</v>
      </c>
      <c r="B29" s="1" t="s">
        <v>286</v>
      </c>
      <c r="C29" s="1" t="s">
        <v>410</v>
      </c>
      <c r="D29" s="1" t="s">
        <v>294</v>
      </c>
      <c r="E29" s="63" t="s">
        <v>326</v>
      </c>
      <c r="F29" s="63" t="s">
        <v>321</v>
      </c>
      <c r="G29" s="48" t="s">
        <v>117</v>
      </c>
      <c r="H29" s="5">
        <v>46085</v>
      </c>
      <c r="I29" s="49" t="s">
        <v>33</v>
      </c>
      <c r="J29" s="48" t="s">
        <v>117</v>
      </c>
      <c r="K29" s="5" t="s">
        <v>411</v>
      </c>
      <c r="L29" s="49" t="s">
        <v>33</v>
      </c>
      <c r="M29" s="23"/>
    </row>
    <row r="30" spans="1:13" s="26" customFormat="1" ht="50.4">
      <c r="A30" s="54" t="s">
        <v>309</v>
      </c>
      <c r="B30" s="1" t="s">
        <v>287</v>
      </c>
      <c r="C30" s="1" t="s">
        <v>300</v>
      </c>
      <c r="D30" s="1" t="s">
        <v>295</v>
      </c>
      <c r="E30" s="63" t="s">
        <v>325</v>
      </c>
      <c r="F30" s="63" t="s">
        <v>320</v>
      </c>
      <c r="G30" s="48" t="s">
        <v>117</v>
      </c>
      <c r="H30" s="5">
        <v>46085</v>
      </c>
      <c r="I30" s="49" t="s">
        <v>33</v>
      </c>
      <c r="J30" s="48" t="s">
        <v>117</v>
      </c>
      <c r="K30" s="5" t="s">
        <v>411</v>
      </c>
      <c r="L30" s="49" t="s">
        <v>33</v>
      </c>
      <c r="M30" s="23"/>
    </row>
    <row r="31" spans="1:13" s="26" customFormat="1" ht="50.4">
      <c r="A31" s="54" t="s">
        <v>310</v>
      </c>
      <c r="B31" s="1" t="s">
        <v>288</v>
      </c>
      <c r="C31" s="1" t="s">
        <v>301</v>
      </c>
      <c r="D31" s="1" t="s">
        <v>296</v>
      </c>
      <c r="E31" s="63" t="s">
        <v>327</v>
      </c>
      <c r="F31" s="63" t="s">
        <v>319</v>
      </c>
      <c r="G31" s="48" t="s">
        <v>117</v>
      </c>
      <c r="H31" s="5">
        <v>46085</v>
      </c>
      <c r="I31" s="49" t="s">
        <v>33</v>
      </c>
      <c r="J31" s="48" t="s">
        <v>117</v>
      </c>
      <c r="K31" s="5" t="s">
        <v>411</v>
      </c>
      <c r="L31" s="49" t="s">
        <v>33</v>
      </c>
      <c r="M31" s="23"/>
    </row>
    <row r="32" spans="1:13" s="26" customFormat="1" ht="33.6">
      <c r="A32" s="54" t="s">
        <v>311</v>
      </c>
      <c r="B32" s="1" t="s">
        <v>289</v>
      </c>
      <c r="C32" s="1" t="s">
        <v>302</v>
      </c>
      <c r="D32" s="1" t="s">
        <v>297</v>
      </c>
      <c r="E32" s="63" t="s">
        <v>318</v>
      </c>
      <c r="F32" s="63" t="s">
        <v>318</v>
      </c>
      <c r="G32" s="48" t="s">
        <v>117</v>
      </c>
      <c r="H32" s="5">
        <v>46085</v>
      </c>
      <c r="I32" s="49" t="s">
        <v>33</v>
      </c>
      <c r="J32" s="48" t="s">
        <v>117</v>
      </c>
      <c r="K32" s="5" t="s">
        <v>411</v>
      </c>
      <c r="L32" s="49" t="s">
        <v>33</v>
      </c>
      <c r="M32" s="23"/>
    </row>
    <row r="33" spans="1:13" s="26" customFormat="1" ht="33.6">
      <c r="A33" s="54" t="s">
        <v>312</v>
      </c>
      <c r="B33" s="1" t="s">
        <v>290</v>
      </c>
      <c r="C33" s="1" t="s">
        <v>303</v>
      </c>
      <c r="D33" s="1" t="s">
        <v>296</v>
      </c>
      <c r="E33" s="63" t="s">
        <v>328</v>
      </c>
      <c r="F33" s="63" t="s">
        <v>317</v>
      </c>
      <c r="G33" s="48" t="s">
        <v>117</v>
      </c>
      <c r="H33" s="5">
        <v>46085</v>
      </c>
      <c r="I33" s="49" t="s">
        <v>33</v>
      </c>
      <c r="J33" s="48" t="s">
        <v>117</v>
      </c>
      <c r="K33" s="5" t="s">
        <v>411</v>
      </c>
      <c r="L33" s="49" t="s">
        <v>33</v>
      </c>
      <c r="M33" s="23"/>
    </row>
    <row r="34" spans="1:13" ht="33.6">
      <c r="A34" s="54" t="s">
        <v>313</v>
      </c>
      <c r="B34" s="1" t="s">
        <v>291</v>
      </c>
      <c r="C34" s="1" t="s">
        <v>304</v>
      </c>
      <c r="D34" s="1" t="s">
        <v>294</v>
      </c>
      <c r="E34" s="1" t="s">
        <v>315</v>
      </c>
      <c r="F34" s="1" t="s">
        <v>315</v>
      </c>
      <c r="G34" s="48" t="s">
        <v>117</v>
      </c>
      <c r="H34" s="5">
        <v>46085</v>
      </c>
      <c r="I34" s="49" t="s">
        <v>33</v>
      </c>
      <c r="J34" s="48" t="s">
        <v>117</v>
      </c>
      <c r="K34" s="5" t="s">
        <v>411</v>
      </c>
      <c r="L34" s="49" t="s">
        <v>33</v>
      </c>
      <c r="M34" s="23"/>
    </row>
    <row r="35" spans="1:13" ht="33.6">
      <c r="A35" s="54" t="s">
        <v>314</v>
      </c>
      <c r="B35" s="1" t="s">
        <v>292</v>
      </c>
      <c r="C35" s="1" t="s">
        <v>305</v>
      </c>
      <c r="D35" s="1" t="s">
        <v>294</v>
      </c>
      <c r="E35" s="1" t="s">
        <v>316</v>
      </c>
      <c r="F35" s="1" t="s">
        <v>316</v>
      </c>
      <c r="G35" s="48" t="s">
        <v>117</v>
      </c>
      <c r="H35" s="5">
        <v>46085</v>
      </c>
      <c r="I35" s="49" t="s">
        <v>33</v>
      </c>
      <c r="J35" s="48" t="s">
        <v>117</v>
      </c>
      <c r="K35" s="5" t="s">
        <v>411</v>
      </c>
      <c r="L35" s="49" t="s">
        <v>33</v>
      </c>
      <c r="M35" s="2"/>
    </row>
  </sheetData>
  <mergeCells count="1">
    <mergeCell ref="B1:F1"/>
  </mergeCells>
  <phoneticPr fontId="8" type="noConversion"/>
  <conditionalFormatting sqref="G11:G19">
    <cfRule type="colorScale" priority="56">
      <colorScale>
        <cfvo type="min"/>
        <cfvo type="percentile" val="50"/>
        <cfvo type="max"/>
        <color rgb="FFF8696B"/>
        <color rgb="FFFFEB84"/>
        <color rgb="FF63BE7B"/>
      </colorScale>
    </cfRule>
  </conditionalFormatting>
  <conditionalFormatting sqref="G11:G25">
    <cfRule type="containsText" dxfId="92" priority="5" operator="containsText" text="Pass">
      <formula>NOT(ISERROR(SEARCH("Pass",G11)))</formula>
    </cfRule>
    <cfRule type="containsText" dxfId="91" priority="6" operator="containsText" text="Fail">
      <formula>NOT(ISERROR(SEARCH("Fail",G11)))</formula>
    </cfRule>
    <cfRule type="containsText" dxfId="90" priority="7" operator="containsText" text="Pass">
      <formula>NOT(ISERROR(SEARCH("Pass",G11)))</formula>
    </cfRule>
  </conditionalFormatting>
  <conditionalFormatting sqref="G22:G23">
    <cfRule type="colorScale" priority="8">
      <colorScale>
        <cfvo type="min"/>
        <cfvo type="percentile" val="50"/>
        <cfvo type="max"/>
        <color rgb="FFF8696B"/>
        <color rgb="FFFFEB84"/>
        <color rgb="FF63BE7B"/>
      </colorScale>
    </cfRule>
  </conditionalFormatting>
  <conditionalFormatting sqref="G24:G25 G20:G21">
    <cfRule type="colorScale" priority="12">
      <colorScale>
        <cfvo type="min"/>
        <cfvo type="percentile" val="50"/>
        <cfvo type="max"/>
        <color rgb="FFF8696B"/>
        <color rgb="FFFFEB84"/>
        <color rgb="FF63BE7B"/>
      </colorScale>
    </cfRule>
  </conditionalFormatting>
  <conditionalFormatting sqref="G27:G35">
    <cfRule type="containsText" dxfId="89" priority="57" operator="containsText" text="Pass">
      <formula>NOT(ISERROR(SEARCH("Pass",G27)))</formula>
    </cfRule>
    <cfRule type="containsText" dxfId="88" priority="58" operator="containsText" text="Fail">
      <formula>NOT(ISERROR(SEARCH("Fail",G27)))</formula>
    </cfRule>
    <cfRule type="containsText" dxfId="87" priority="59" operator="containsText" text="Pass">
      <formula>NOT(ISERROR(SEARCH("Pass",G27)))</formula>
    </cfRule>
    <cfRule type="colorScale" priority="60">
      <colorScale>
        <cfvo type="min"/>
        <cfvo type="percentile" val="50"/>
        <cfvo type="max"/>
        <color rgb="FFF8696B"/>
        <color rgb="FFFFEB84"/>
        <color rgb="FF63BE7B"/>
      </colorScale>
    </cfRule>
  </conditionalFormatting>
  <conditionalFormatting sqref="J27:J35">
    <cfRule type="containsText" dxfId="86" priority="1" operator="containsText" text="Pass">
      <formula>NOT(ISERROR(SEARCH("Pass",J27)))</formula>
    </cfRule>
    <cfRule type="containsText" dxfId="85" priority="2" operator="containsText" text="Fail">
      <formula>NOT(ISERROR(SEARCH("Fail",J27)))</formula>
    </cfRule>
    <cfRule type="containsText" dxfId="84" priority="3" operator="containsText" text="Pass">
      <formula>NOT(ISERROR(SEARCH("Pass",J27)))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25" xr:uid="{F502A24D-1B13-48D9-9431-9FA032B916B0}">
      <formula1>"Passed,Untested,Failed,Blocked"</formula1>
      <formula2>0</formula2>
    </dataValidation>
    <dataValidation type="list" allowBlank="1" showErrorMessage="1" sqref="G11:G25 G27:G35 J27:J35" xr:uid="{F707CC8B-761E-4C8D-B799-4904760921F3}">
      <formula1>"Pass,Fail"</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063F-6A86-4F24-ADC2-68EB6607ACC7}">
  <dimension ref="A1:M34"/>
  <sheetViews>
    <sheetView topLeftCell="A13" zoomScale="40" zoomScaleNormal="40" workbookViewId="0">
      <selection activeCell="L26" sqref="L26:L34"/>
    </sheetView>
  </sheetViews>
  <sheetFormatPr defaultColWidth="9.109375" defaultRowHeight="16.8"/>
  <cols>
    <col min="1" max="1" width="21.33203125" style="3" bestFit="1" customWidth="1"/>
    <col min="2" max="2" width="40.6640625" style="3" bestFit="1" customWidth="1"/>
    <col min="3" max="3" width="51.44140625" style="3" customWidth="1"/>
    <col min="4" max="4" width="34.109375" style="3" customWidth="1"/>
    <col min="5" max="5" width="37"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101" t="s">
        <v>30</v>
      </c>
      <c r="C1" s="102"/>
      <c r="D1" s="102"/>
      <c r="E1" s="102"/>
      <c r="F1" s="103"/>
      <c r="G1" s="16"/>
      <c r="H1" s="35"/>
      <c r="J1" s="16"/>
    </row>
    <row r="2" spans="1:13" s="26" customFormat="1">
      <c r="A2" s="43" t="s">
        <v>7</v>
      </c>
      <c r="B2" s="42" t="s">
        <v>124</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23</v>
      </c>
      <c r="C4" s="38">
        <v>2</v>
      </c>
      <c r="D4" s="44">
        <f>COUNTIF(G11:G28,"Untested")</f>
        <v>0</v>
      </c>
      <c r="E4" s="44">
        <f>COUNTIF(G11:G28,"Blocked")</f>
        <v>0</v>
      </c>
      <c r="F4" s="38">
        <v>23</v>
      </c>
      <c r="G4" s="16"/>
      <c r="H4" s="35"/>
      <c r="J4" s="16"/>
    </row>
    <row r="5" spans="1:13" s="26" customFormat="1">
      <c r="A5" s="41" t="s">
        <v>12</v>
      </c>
      <c r="B5" s="38">
        <v>9</v>
      </c>
      <c r="C5" s="38">
        <v>0</v>
      </c>
      <c r="D5" s="44">
        <f>COUNTIF(J11:J28,"Untested")</f>
        <v>0</v>
      </c>
      <c r="E5" s="44">
        <f>COUNTIF(J11:J28,"Blocked")</f>
        <v>0</v>
      </c>
      <c r="F5" s="44">
        <v>9</v>
      </c>
      <c r="G5" s="16"/>
      <c r="H5" s="35"/>
      <c r="J5" s="16"/>
    </row>
    <row r="6" spans="1:13" s="26" customFormat="1" ht="409.6" customHeight="1">
      <c r="A6" s="37"/>
      <c r="B6" s="36"/>
      <c r="E6" s="17"/>
      <c r="G6" s="16"/>
      <c r="H6" s="35"/>
      <c r="J6" s="16"/>
    </row>
    <row r="7" spans="1:13" s="26" customFormat="1">
      <c r="A7" s="56" t="s">
        <v>13</v>
      </c>
      <c r="B7" s="56" t="s">
        <v>5</v>
      </c>
      <c r="C7" s="56" t="s">
        <v>80</v>
      </c>
      <c r="D7" s="56" t="s">
        <v>14</v>
      </c>
      <c r="E7" s="56" t="s">
        <v>15</v>
      </c>
      <c r="F7" s="56" t="s">
        <v>16</v>
      </c>
      <c r="G7" s="56" t="s">
        <v>17</v>
      </c>
      <c r="H7" s="56"/>
      <c r="I7" s="56"/>
      <c r="J7" s="56" t="s">
        <v>17</v>
      </c>
      <c r="K7" s="56"/>
      <c r="L7" s="56"/>
      <c r="M7" s="56" t="s">
        <v>18</v>
      </c>
    </row>
    <row r="8" spans="1:13" s="26" customFormat="1">
      <c r="A8" s="56"/>
      <c r="B8" s="56"/>
      <c r="C8" s="56"/>
      <c r="D8" s="56"/>
      <c r="E8" s="56"/>
      <c r="F8" s="56"/>
      <c r="G8" s="56" t="s">
        <v>19</v>
      </c>
      <c r="H8" s="56"/>
      <c r="I8" s="56"/>
      <c r="J8" s="56" t="s">
        <v>20</v>
      </c>
      <c r="K8" s="56"/>
      <c r="L8" s="56"/>
      <c r="M8" s="56"/>
    </row>
    <row r="9" spans="1:13" s="26" customFormat="1">
      <c r="A9" s="56"/>
      <c r="B9" s="56"/>
      <c r="C9" s="56"/>
      <c r="D9" s="56"/>
      <c r="E9" s="56"/>
      <c r="F9" s="56"/>
      <c r="G9" s="56" t="s">
        <v>21</v>
      </c>
      <c r="H9" s="57" t="s">
        <v>22</v>
      </c>
      <c r="I9" s="56" t="s">
        <v>23</v>
      </c>
      <c r="J9" s="56" t="s">
        <v>21</v>
      </c>
      <c r="K9" s="57" t="s">
        <v>22</v>
      </c>
      <c r="L9" s="56" t="s">
        <v>23</v>
      </c>
      <c r="M9" s="56"/>
    </row>
    <row r="10" spans="1:13" s="26" customFormat="1">
      <c r="A10" s="66" t="s">
        <v>348</v>
      </c>
      <c r="B10" s="58"/>
      <c r="C10" s="58"/>
      <c r="D10" s="58"/>
      <c r="E10" s="58"/>
      <c r="F10" s="58"/>
      <c r="G10" s="58"/>
      <c r="H10" s="58"/>
      <c r="I10" s="58"/>
      <c r="J10" s="58"/>
      <c r="K10" s="58"/>
      <c r="L10" s="58"/>
      <c r="M10" s="58"/>
    </row>
    <row r="11" spans="1:13" s="26" customFormat="1" ht="84">
      <c r="A11" s="59" t="s">
        <v>338</v>
      </c>
      <c r="B11" s="1" t="s">
        <v>25</v>
      </c>
      <c r="C11" s="22"/>
      <c r="D11" s="22"/>
      <c r="E11" s="60" t="s">
        <v>333</v>
      </c>
      <c r="F11" s="60" t="s">
        <v>333</v>
      </c>
      <c r="G11" s="48" t="s">
        <v>117</v>
      </c>
      <c r="H11" s="5">
        <v>46085</v>
      </c>
      <c r="I11" s="49" t="s">
        <v>33</v>
      </c>
      <c r="J11" s="22"/>
      <c r="K11" s="62"/>
      <c r="L11" s="61"/>
      <c r="M11" s="22"/>
    </row>
    <row r="12" spans="1:13" s="26" customFormat="1" ht="50.4">
      <c r="A12" s="59" t="s">
        <v>339</v>
      </c>
      <c r="B12" s="1" t="s">
        <v>329</v>
      </c>
      <c r="C12" s="22"/>
      <c r="D12" s="22"/>
      <c r="E12" s="60" t="s">
        <v>334</v>
      </c>
      <c r="F12" s="60" t="s">
        <v>334</v>
      </c>
      <c r="G12" s="48" t="s">
        <v>117</v>
      </c>
      <c r="H12" s="5">
        <v>46085</v>
      </c>
      <c r="I12" s="49" t="s">
        <v>33</v>
      </c>
      <c r="J12" s="22"/>
      <c r="K12" s="62"/>
      <c r="L12" s="61"/>
      <c r="M12" s="22"/>
    </row>
    <row r="13" spans="1:13" s="26" customFormat="1" ht="50.4">
      <c r="A13" s="59" t="s">
        <v>340</v>
      </c>
      <c r="B13" s="1" t="s">
        <v>330</v>
      </c>
      <c r="C13" s="22"/>
      <c r="D13" s="22"/>
      <c r="E13" s="60" t="s">
        <v>335</v>
      </c>
      <c r="F13" s="60" t="s">
        <v>335</v>
      </c>
      <c r="G13" s="48" t="s">
        <v>117</v>
      </c>
      <c r="H13" s="5">
        <v>46085</v>
      </c>
      <c r="I13" s="49" t="s">
        <v>33</v>
      </c>
      <c r="J13" s="22"/>
      <c r="K13" s="62"/>
      <c r="L13" s="61"/>
      <c r="M13" s="22"/>
    </row>
    <row r="14" spans="1:13" s="26" customFormat="1" ht="84">
      <c r="A14" s="59" t="s">
        <v>341</v>
      </c>
      <c r="B14" s="1" t="s">
        <v>331</v>
      </c>
      <c r="C14" s="22"/>
      <c r="D14" s="22"/>
      <c r="E14" s="60" t="s">
        <v>336</v>
      </c>
      <c r="F14" s="60" t="s">
        <v>336</v>
      </c>
      <c r="G14" s="48" t="s">
        <v>117</v>
      </c>
      <c r="H14" s="5">
        <v>46085</v>
      </c>
      <c r="I14" s="49" t="s">
        <v>33</v>
      </c>
      <c r="J14" s="22"/>
      <c r="K14" s="62"/>
      <c r="L14" s="61"/>
      <c r="M14" s="22"/>
    </row>
    <row r="15" spans="1:13" s="26" customFormat="1" ht="50.4">
      <c r="A15" s="59" t="s">
        <v>342</v>
      </c>
      <c r="B15" s="1" t="s">
        <v>332</v>
      </c>
      <c r="C15" s="22"/>
      <c r="D15" s="22"/>
      <c r="E15" s="60" t="s">
        <v>337</v>
      </c>
      <c r="F15" s="60" t="s">
        <v>337</v>
      </c>
      <c r="G15" s="48" t="s">
        <v>117</v>
      </c>
      <c r="H15" s="5">
        <v>46085</v>
      </c>
      <c r="I15" s="49" t="s">
        <v>33</v>
      </c>
      <c r="J15" s="22"/>
      <c r="K15" s="62"/>
      <c r="L15" s="61"/>
      <c r="M15" s="22"/>
    </row>
    <row r="16" spans="1:13" s="26" customFormat="1" ht="33.6">
      <c r="A16" s="59" t="s">
        <v>343</v>
      </c>
      <c r="B16" s="1" t="s">
        <v>388</v>
      </c>
      <c r="C16" s="22"/>
      <c r="D16" s="22"/>
      <c r="E16" s="60" t="s">
        <v>196</v>
      </c>
      <c r="F16" s="60" t="s">
        <v>196</v>
      </c>
      <c r="G16" s="48" t="s">
        <v>117</v>
      </c>
      <c r="H16" s="5">
        <v>46085</v>
      </c>
      <c r="I16" s="49" t="s">
        <v>33</v>
      </c>
      <c r="J16" s="22"/>
      <c r="K16" s="62"/>
      <c r="L16" s="61"/>
      <c r="M16" s="22"/>
    </row>
    <row r="17" spans="1:13" s="26" customFormat="1" ht="50.4">
      <c r="A17" s="59" t="s">
        <v>344</v>
      </c>
      <c r="B17" s="1" t="s">
        <v>389</v>
      </c>
      <c r="C17" s="22"/>
      <c r="D17" s="22"/>
      <c r="E17" s="60" t="s">
        <v>391</v>
      </c>
      <c r="F17" s="60" t="s">
        <v>391</v>
      </c>
      <c r="G17" s="48" t="s">
        <v>117</v>
      </c>
      <c r="H17" s="5">
        <v>46085</v>
      </c>
      <c r="I17" s="49" t="s">
        <v>33</v>
      </c>
      <c r="J17" s="22"/>
      <c r="K17" s="62"/>
      <c r="L17" s="61"/>
      <c r="M17" s="22"/>
    </row>
    <row r="18" spans="1:13" s="26" customFormat="1" ht="50.4">
      <c r="A18" s="59" t="s">
        <v>345</v>
      </c>
      <c r="B18" s="1" t="s">
        <v>390</v>
      </c>
      <c r="C18" s="22"/>
      <c r="D18" s="22"/>
      <c r="E18" s="60" t="s">
        <v>337</v>
      </c>
      <c r="F18" s="60" t="s">
        <v>337</v>
      </c>
      <c r="G18" s="48" t="s">
        <v>117</v>
      </c>
      <c r="H18" s="5">
        <v>46085</v>
      </c>
      <c r="I18" s="49" t="s">
        <v>33</v>
      </c>
      <c r="J18" s="22"/>
      <c r="K18" s="62"/>
      <c r="L18" s="61"/>
      <c r="M18" s="22"/>
    </row>
    <row r="19" spans="1:13" ht="33.6">
      <c r="A19" s="59" t="s">
        <v>346</v>
      </c>
      <c r="B19" s="1" t="s">
        <v>179</v>
      </c>
      <c r="C19" s="1"/>
      <c r="D19" s="1"/>
      <c r="E19" s="60" t="s">
        <v>196</v>
      </c>
      <c r="F19" s="60" t="s">
        <v>196</v>
      </c>
      <c r="G19" s="48" t="s">
        <v>117</v>
      </c>
      <c r="H19" s="5">
        <v>46085</v>
      </c>
      <c r="I19" s="49" t="s">
        <v>33</v>
      </c>
      <c r="J19" s="1"/>
      <c r="K19" s="1"/>
      <c r="L19" s="1"/>
      <c r="M19" s="1"/>
    </row>
    <row r="20" spans="1:13" ht="33.6">
      <c r="A20" s="59" t="s">
        <v>347</v>
      </c>
      <c r="B20" s="1" t="s">
        <v>180</v>
      </c>
      <c r="C20" s="1"/>
      <c r="D20" s="1"/>
      <c r="E20" s="60" t="s">
        <v>196</v>
      </c>
      <c r="F20" s="60" t="s">
        <v>196</v>
      </c>
      <c r="G20" s="48" t="s">
        <v>117</v>
      </c>
      <c r="H20" s="5">
        <v>46085</v>
      </c>
      <c r="I20" s="49" t="s">
        <v>33</v>
      </c>
      <c r="J20" s="1"/>
      <c r="K20" s="1"/>
      <c r="L20" s="1"/>
      <c r="M20" s="1"/>
    </row>
    <row r="21" spans="1:13" ht="33.6">
      <c r="A21" s="59" t="s">
        <v>400</v>
      </c>
      <c r="B21" s="1" t="s">
        <v>181</v>
      </c>
      <c r="C21" s="1"/>
      <c r="D21" s="1"/>
      <c r="E21" s="60" t="s">
        <v>196</v>
      </c>
      <c r="F21" s="60" t="s">
        <v>196</v>
      </c>
      <c r="G21" s="48" t="s">
        <v>117</v>
      </c>
      <c r="H21" s="5">
        <v>46085</v>
      </c>
      <c r="I21" s="49" t="s">
        <v>33</v>
      </c>
      <c r="J21" s="1"/>
      <c r="K21" s="1"/>
      <c r="L21" s="1"/>
      <c r="M21" s="1"/>
    </row>
    <row r="22" spans="1:13" ht="50.4">
      <c r="A22" s="59" t="s">
        <v>401</v>
      </c>
      <c r="B22" s="1" t="s">
        <v>182</v>
      </c>
      <c r="C22" s="1"/>
      <c r="D22" s="1"/>
      <c r="E22" s="60" t="s">
        <v>201</v>
      </c>
      <c r="F22" s="60" t="s">
        <v>201</v>
      </c>
      <c r="G22" s="48" t="s">
        <v>117</v>
      </c>
      <c r="H22" s="5">
        <v>46085</v>
      </c>
      <c r="I22" s="49" t="s">
        <v>33</v>
      </c>
      <c r="J22" s="1"/>
      <c r="K22" s="1"/>
      <c r="L22" s="1"/>
      <c r="M22" s="1"/>
    </row>
    <row r="23" spans="1:13" ht="50.4">
      <c r="A23" s="59" t="s">
        <v>402</v>
      </c>
      <c r="B23" s="1" t="s">
        <v>183</v>
      </c>
      <c r="C23" s="1"/>
      <c r="D23" s="1"/>
      <c r="E23" s="60" t="s">
        <v>202</v>
      </c>
      <c r="F23" s="60" t="s">
        <v>202</v>
      </c>
      <c r="G23" s="48" t="s">
        <v>117</v>
      </c>
      <c r="H23" s="5">
        <v>46085</v>
      </c>
      <c r="I23" s="49" t="s">
        <v>33</v>
      </c>
      <c r="J23" s="1"/>
      <c r="K23" s="1"/>
      <c r="L23" s="1"/>
      <c r="M23" s="1"/>
    </row>
    <row r="24" spans="1:13" ht="50.4">
      <c r="A24" s="59" t="s">
        <v>403</v>
      </c>
      <c r="B24" s="1" t="s">
        <v>199</v>
      </c>
      <c r="C24" s="1"/>
      <c r="D24" s="1"/>
      <c r="E24" s="60" t="s">
        <v>131</v>
      </c>
      <c r="F24" s="60" t="s">
        <v>131</v>
      </c>
      <c r="G24" s="48" t="s">
        <v>117</v>
      </c>
      <c r="H24" s="5">
        <v>46085</v>
      </c>
      <c r="I24" s="49" t="s">
        <v>33</v>
      </c>
      <c r="J24" s="1"/>
      <c r="K24" s="1"/>
      <c r="L24" s="1"/>
      <c r="M24" s="1"/>
    </row>
    <row r="25" spans="1:13" s="26" customFormat="1">
      <c r="A25" s="66" t="s">
        <v>349</v>
      </c>
      <c r="B25" s="58"/>
      <c r="C25" s="58"/>
      <c r="D25" s="58"/>
      <c r="E25" s="58"/>
      <c r="F25" s="58"/>
      <c r="G25" s="58"/>
      <c r="H25" s="58"/>
      <c r="I25" s="58"/>
      <c r="J25" s="58"/>
      <c r="K25" s="58"/>
      <c r="L25" s="58"/>
      <c r="M25" s="58"/>
    </row>
    <row r="26" spans="1:13" s="26" customFormat="1" ht="33.6">
      <c r="A26" s="25" t="s">
        <v>392</v>
      </c>
      <c r="B26" s="1" t="s">
        <v>357</v>
      </c>
      <c r="C26" s="1" t="s">
        <v>359</v>
      </c>
      <c r="D26" s="1" t="s">
        <v>358</v>
      </c>
      <c r="E26" s="1" t="s">
        <v>376</v>
      </c>
      <c r="F26" s="1" t="s">
        <v>376</v>
      </c>
      <c r="G26" s="48" t="s">
        <v>117</v>
      </c>
      <c r="H26" s="5">
        <v>46085</v>
      </c>
      <c r="I26" s="49" t="s">
        <v>33</v>
      </c>
      <c r="J26" s="48" t="s">
        <v>117</v>
      </c>
      <c r="K26" s="5" t="s">
        <v>411</v>
      </c>
      <c r="L26" s="49" t="s">
        <v>33</v>
      </c>
      <c r="M26" s="22"/>
    </row>
    <row r="27" spans="1:13" s="26" customFormat="1" ht="67.2">
      <c r="A27" s="25" t="s">
        <v>393</v>
      </c>
      <c r="B27" s="1" t="s">
        <v>360</v>
      </c>
      <c r="C27" s="1" t="s">
        <v>381</v>
      </c>
      <c r="D27" s="1" t="s">
        <v>382</v>
      </c>
      <c r="E27" s="1" t="s">
        <v>383</v>
      </c>
      <c r="F27" s="1" t="s">
        <v>383</v>
      </c>
      <c r="G27" s="48" t="s">
        <v>117</v>
      </c>
      <c r="H27" s="5">
        <v>46085</v>
      </c>
      <c r="I27" s="49" t="s">
        <v>33</v>
      </c>
      <c r="J27" s="48" t="s">
        <v>117</v>
      </c>
      <c r="K27" s="5" t="s">
        <v>411</v>
      </c>
      <c r="L27" s="49" t="s">
        <v>33</v>
      </c>
      <c r="M27" s="22"/>
    </row>
    <row r="28" spans="1:13" s="26" customFormat="1" ht="33.6">
      <c r="A28" s="25" t="s">
        <v>394</v>
      </c>
      <c r="B28" s="1" t="s">
        <v>384</v>
      </c>
      <c r="C28" s="1" t="s">
        <v>359</v>
      </c>
      <c r="D28" s="1" t="s">
        <v>387</v>
      </c>
      <c r="E28" s="1" t="s">
        <v>385</v>
      </c>
      <c r="F28" s="1" t="s">
        <v>386</v>
      </c>
      <c r="G28" s="48" t="s">
        <v>121</v>
      </c>
      <c r="H28" s="5">
        <v>46085</v>
      </c>
      <c r="I28" s="49" t="s">
        <v>33</v>
      </c>
      <c r="J28" s="48" t="s">
        <v>117</v>
      </c>
      <c r="K28" s="5" t="s">
        <v>411</v>
      </c>
      <c r="L28" s="49" t="s">
        <v>33</v>
      </c>
      <c r="M28" s="22"/>
    </row>
    <row r="29" spans="1:13" s="26" customFormat="1">
      <c r="A29" s="25" t="s">
        <v>395</v>
      </c>
      <c r="B29" s="1" t="s">
        <v>361</v>
      </c>
      <c r="C29" s="1" t="s">
        <v>363</v>
      </c>
      <c r="D29" s="1" t="s">
        <v>362</v>
      </c>
      <c r="E29" s="1" t="s">
        <v>377</v>
      </c>
      <c r="F29" s="1" t="s">
        <v>377</v>
      </c>
      <c r="G29" s="48" t="s">
        <v>117</v>
      </c>
      <c r="H29" s="5">
        <v>46085</v>
      </c>
      <c r="I29" s="49" t="s">
        <v>33</v>
      </c>
      <c r="J29" s="48" t="s">
        <v>117</v>
      </c>
      <c r="K29" s="5" t="s">
        <v>411</v>
      </c>
      <c r="L29" s="49" t="s">
        <v>33</v>
      </c>
      <c r="M29" s="22"/>
    </row>
    <row r="30" spans="1:13" s="26" customFormat="1">
      <c r="A30" s="25" t="s">
        <v>396</v>
      </c>
      <c r="B30" s="1" t="s">
        <v>364</v>
      </c>
      <c r="C30" s="1" t="s">
        <v>366</v>
      </c>
      <c r="D30" s="1" t="s">
        <v>365</v>
      </c>
      <c r="E30" s="1" t="s">
        <v>379</v>
      </c>
      <c r="F30" s="1" t="s">
        <v>379</v>
      </c>
      <c r="G30" s="48" t="s">
        <v>117</v>
      </c>
      <c r="H30" s="5">
        <v>46085</v>
      </c>
      <c r="I30" s="49" t="s">
        <v>33</v>
      </c>
      <c r="J30" s="48" t="s">
        <v>117</v>
      </c>
      <c r="K30" s="5" t="s">
        <v>411</v>
      </c>
      <c r="L30" s="49" t="s">
        <v>33</v>
      </c>
      <c r="M30" s="22"/>
    </row>
    <row r="31" spans="1:13" ht="50.4">
      <c r="A31" s="25" t="s">
        <v>397</v>
      </c>
      <c r="B31" s="1" t="s">
        <v>368</v>
      </c>
      <c r="C31" s="1" t="s">
        <v>370</v>
      </c>
      <c r="D31" s="1" t="s">
        <v>369</v>
      </c>
      <c r="E31" s="1" t="s">
        <v>380</v>
      </c>
      <c r="F31" s="1" t="s">
        <v>380</v>
      </c>
      <c r="G31" s="48" t="s">
        <v>117</v>
      </c>
      <c r="H31" s="5">
        <v>46085</v>
      </c>
      <c r="I31" s="49" t="s">
        <v>33</v>
      </c>
      <c r="J31" s="48" t="s">
        <v>117</v>
      </c>
      <c r="K31" s="5" t="s">
        <v>411</v>
      </c>
      <c r="L31" s="49" t="s">
        <v>33</v>
      </c>
      <c r="M31" s="22"/>
    </row>
    <row r="32" spans="1:13" ht="33.6">
      <c r="A32" s="25" t="s">
        <v>398</v>
      </c>
      <c r="B32" s="1" t="s">
        <v>371</v>
      </c>
      <c r="C32" s="1" t="s">
        <v>372</v>
      </c>
      <c r="D32" s="1" t="s">
        <v>365</v>
      </c>
      <c r="E32" s="1" t="s">
        <v>375</v>
      </c>
      <c r="F32" s="1" t="s">
        <v>408</v>
      </c>
      <c r="G32" s="48" t="s">
        <v>121</v>
      </c>
      <c r="H32" s="5">
        <v>46085</v>
      </c>
      <c r="I32" s="49" t="s">
        <v>33</v>
      </c>
      <c r="J32" s="48" t="s">
        <v>117</v>
      </c>
      <c r="K32" s="5" t="s">
        <v>411</v>
      </c>
      <c r="L32" s="49" t="s">
        <v>33</v>
      </c>
      <c r="M32" s="22"/>
    </row>
    <row r="33" spans="1:13" ht="33.6">
      <c r="A33" s="25" t="s">
        <v>399</v>
      </c>
      <c r="B33" s="1" t="s">
        <v>373</v>
      </c>
      <c r="C33" s="1" t="s">
        <v>374</v>
      </c>
      <c r="D33" s="1" t="s">
        <v>367</v>
      </c>
      <c r="E33" s="1" t="s">
        <v>378</v>
      </c>
      <c r="F33" s="1" t="s">
        <v>378</v>
      </c>
      <c r="G33" s="48" t="s">
        <v>117</v>
      </c>
      <c r="H33" s="5">
        <v>46085</v>
      </c>
      <c r="I33" s="49" t="s">
        <v>33</v>
      </c>
      <c r="J33" s="48" t="s">
        <v>117</v>
      </c>
      <c r="K33" s="5" t="s">
        <v>411</v>
      </c>
      <c r="L33" s="49" t="s">
        <v>33</v>
      </c>
      <c r="M33" s="1"/>
    </row>
    <row r="34" spans="1:13" ht="50.4">
      <c r="A34" s="25" t="s">
        <v>409</v>
      </c>
      <c r="B34" s="1" t="s">
        <v>404</v>
      </c>
      <c r="C34" s="1" t="s">
        <v>405</v>
      </c>
      <c r="D34" s="1" t="s">
        <v>406</v>
      </c>
      <c r="E34" s="1" t="s">
        <v>407</v>
      </c>
      <c r="F34" s="1" t="s">
        <v>407</v>
      </c>
      <c r="G34" s="48" t="s">
        <v>117</v>
      </c>
      <c r="H34" s="5">
        <v>46085</v>
      </c>
      <c r="I34" s="49" t="s">
        <v>33</v>
      </c>
      <c r="J34" s="48" t="s">
        <v>117</v>
      </c>
      <c r="K34" s="5" t="s">
        <v>411</v>
      </c>
      <c r="L34" s="49" t="s">
        <v>33</v>
      </c>
      <c r="M34" s="1"/>
    </row>
  </sheetData>
  <mergeCells count="1">
    <mergeCell ref="B1:F1"/>
  </mergeCells>
  <phoneticPr fontId="8" type="noConversion"/>
  <conditionalFormatting sqref="G11:G18">
    <cfRule type="colorScale" priority="92">
      <colorScale>
        <cfvo type="min"/>
        <cfvo type="percentile" val="50"/>
        <cfvo type="max"/>
        <color rgb="FFF8696B"/>
        <color rgb="FFFFEB84"/>
        <color rgb="FF63BE7B"/>
      </colorScale>
    </cfRule>
  </conditionalFormatting>
  <conditionalFormatting sqref="G11:G24">
    <cfRule type="containsText" dxfId="83" priority="9" operator="containsText" text="Pass">
      <formula>NOT(ISERROR(SEARCH("Pass",G11)))</formula>
    </cfRule>
    <cfRule type="containsText" dxfId="82" priority="10" operator="containsText" text="Fail">
      <formula>NOT(ISERROR(SEARCH("Fail",G11)))</formula>
    </cfRule>
    <cfRule type="containsText" dxfId="81" priority="11" operator="containsText" text="Pass">
      <formula>NOT(ISERROR(SEARCH("Pass",G11)))</formula>
    </cfRule>
  </conditionalFormatting>
  <conditionalFormatting sqref="G19:G24">
    <cfRule type="colorScale" priority="12">
      <colorScale>
        <cfvo type="min"/>
        <cfvo type="percentile" val="50"/>
        <cfvo type="max"/>
        <color rgb="FFF8696B"/>
        <color rgb="FFFFEB84"/>
        <color rgb="FF63BE7B"/>
      </colorScale>
    </cfRule>
  </conditionalFormatting>
  <conditionalFormatting sqref="G26:G34">
    <cfRule type="containsText" dxfId="80" priority="81" operator="containsText" text="Pass">
      <formula>NOT(ISERROR(SEARCH("Pass",G26)))</formula>
    </cfRule>
    <cfRule type="containsText" dxfId="79" priority="82" operator="containsText" text="Fail">
      <formula>NOT(ISERROR(SEARCH("Fail",G26)))</formula>
    </cfRule>
    <cfRule type="containsText" dxfId="78" priority="83" operator="containsText" text="Pass">
      <formula>NOT(ISERROR(SEARCH("Pass",G26)))</formula>
    </cfRule>
    <cfRule type="colorScale" priority="84">
      <colorScale>
        <cfvo type="min"/>
        <cfvo type="percentile" val="50"/>
        <cfvo type="max"/>
        <color rgb="FFF8696B"/>
        <color rgb="FFFFEB84"/>
        <color rgb="FF63BE7B"/>
      </colorScale>
    </cfRule>
  </conditionalFormatting>
  <conditionalFormatting sqref="J26">
    <cfRule type="containsText" dxfId="77" priority="5" operator="containsText" text="Pass">
      <formula>NOT(ISERROR(SEARCH("Pass",J26)))</formula>
    </cfRule>
    <cfRule type="containsText" dxfId="76" priority="6" operator="containsText" text="Fail">
      <formula>NOT(ISERROR(SEARCH("Fail",J26)))</formula>
    </cfRule>
    <cfRule type="containsText" dxfId="75" priority="7" operator="containsText" text="Pass">
      <formula>NOT(ISERROR(SEARCH("Pass",J26)))</formula>
    </cfRule>
    <cfRule type="colorScale" priority="8">
      <colorScale>
        <cfvo type="min"/>
        <cfvo type="percentile" val="50"/>
        <cfvo type="max"/>
        <color rgb="FFF8696B"/>
        <color rgb="FFFFEB84"/>
        <color rgb="FF63BE7B"/>
      </colorScale>
    </cfRule>
  </conditionalFormatting>
  <conditionalFormatting sqref="J27:J34">
    <cfRule type="containsText" dxfId="74" priority="1" operator="containsText" text="Pass">
      <formula>NOT(ISERROR(SEARCH("Pass",J27)))</formula>
    </cfRule>
    <cfRule type="containsText" dxfId="73" priority="2" operator="containsText" text="Fail">
      <formula>NOT(ISERROR(SEARCH("Fail",J27)))</formula>
    </cfRule>
    <cfRule type="containsText" dxfId="72" priority="3" operator="containsText" text="Pass">
      <formula>NOT(ISERROR(SEARCH("Pass",J27)))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18" xr:uid="{BD691BE6-2B50-4ED4-8836-A803F3D9F845}">
      <formula1>"Passed,Untested,Failed,Blocked"</formula1>
      <formula2>0</formula2>
    </dataValidation>
    <dataValidation type="list" allowBlank="1" showErrorMessage="1" sqref="G11:G24 G26:G34 J26:J34" xr:uid="{CD153AFC-9DA4-45BB-B046-DE5970F59081}">
      <formula1>"Pass,Fail"</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5B885-46E3-4335-8F58-96A7659B153D}">
  <dimension ref="A1:M68"/>
  <sheetViews>
    <sheetView topLeftCell="A64" zoomScale="50" workbookViewId="0">
      <selection activeCell="L55" sqref="L55:L68"/>
    </sheetView>
  </sheetViews>
  <sheetFormatPr defaultRowHeight="14.4"/>
  <cols>
    <col min="1" max="1" width="21.21875" customWidth="1"/>
    <col min="2" max="2" width="16.6640625" customWidth="1"/>
    <col min="3" max="3" width="14.6640625" customWidth="1"/>
    <col min="4" max="4" width="18.6640625" customWidth="1"/>
    <col min="5" max="5" width="18.5546875" customWidth="1"/>
    <col min="6" max="6" width="30.109375" customWidth="1"/>
    <col min="7" max="7" width="12.88671875" customWidth="1"/>
    <col min="8" max="8" width="12.44140625" customWidth="1"/>
    <col min="9" max="9" width="11.5546875" customWidth="1"/>
    <col min="11" max="11" width="14.21875" customWidth="1"/>
    <col min="12" max="12" width="10.88671875" customWidth="1"/>
  </cols>
  <sheetData>
    <row r="1" spans="1:6" ht="16.8">
      <c r="A1" s="81" t="s">
        <v>6</v>
      </c>
      <c r="B1" s="105" t="s">
        <v>529</v>
      </c>
      <c r="C1" s="105"/>
      <c r="D1" s="105"/>
      <c r="E1" s="105"/>
      <c r="F1" s="105"/>
    </row>
    <row r="2" spans="1:6" ht="16.8">
      <c r="A2" s="81" t="s">
        <v>7</v>
      </c>
      <c r="B2" s="106" t="s">
        <v>35</v>
      </c>
      <c r="C2" s="106"/>
      <c r="D2" s="106"/>
      <c r="E2" s="106"/>
      <c r="F2" s="106"/>
    </row>
    <row r="3" spans="1:6" ht="16.8">
      <c r="A3" s="76"/>
      <c r="B3" s="79" t="s">
        <v>8</v>
      </c>
      <c r="C3" s="79" t="s">
        <v>9</v>
      </c>
      <c r="D3" s="79" t="s">
        <v>10</v>
      </c>
      <c r="E3" s="80" t="s">
        <v>527</v>
      </c>
      <c r="F3" s="79" t="s">
        <v>526</v>
      </c>
    </row>
    <row r="4" spans="1:6" ht="16.8">
      <c r="A4" s="78" t="s">
        <v>11</v>
      </c>
      <c r="B4" s="76">
        <v>29</v>
      </c>
      <c r="C4" s="76">
        <v>0</v>
      </c>
      <c r="D4" s="76">
        <v>0</v>
      </c>
      <c r="E4" s="76">
        <v>0</v>
      </c>
      <c r="F4" s="76">
        <v>29</v>
      </c>
    </row>
    <row r="5" spans="1:6" ht="16.8">
      <c r="A5" s="78" t="s">
        <v>12</v>
      </c>
      <c r="B5" s="76">
        <v>14</v>
      </c>
      <c r="C5" s="76">
        <v>0</v>
      </c>
      <c r="D5" s="76">
        <v>0</v>
      </c>
      <c r="E5" s="77">
        <v>0</v>
      </c>
      <c r="F5" s="76">
        <v>14</v>
      </c>
    </row>
    <row r="33" spans="1:13" ht="16.8">
      <c r="A33" s="107" t="s">
        <v>13</v>
      </c>
      <c r="B33" s="107" t="s">
        <v>5</v>
      </c>
      <c r="C33" s="107" t="s">
        <v>80</v>
      </c>
      <c r="D33" s="107" t="s">
        <v>14</v>
      </c>
      <c r="E33" s="107" t="s">
        <v>15</v>
      </c>
      <c r="F33" s="107" t="s">
        <v>16</v>
      </c>
      <c r="G33" s="107" t="s">
        <v>17</v>
      </c>
      <c r="H33" s="107"/>
      <c r="I33" s="107"/>
      <c r="J33" s="107" t="s">
        <v>17</v>
      </c>
      <c r="K33" s="107"/>
      <c r="L33" s="107"/>
      <c r="M33" s="107" t="s">
        <v>18</v>
      </c>
    </row>
    <row r="34" spans="1:13" ht="16.8">
      <c r="A34" s="107"/>
      <c r="B34" s="107"/>
      <c r="C34" s="107"/>
      <c r="D34" s="107"/>
      <c r="E34" s="107"/>
      <c r="F34" s="107"/>
      <c r="G34" s="107" t="s">
        <v>19</v>
      </c>
      <c r="H34" s="107"/>
      <c r="I34" s="107"/>
      <c r="J34" s="107" t="s">
        <v>20</v>
      </c>
      <c r="K34" s="107"/>
      <c r="L34" s="107"/>
      <c r="M34" s="107"/>
    </row>
    <row r="35" spans="1:13" ht="33.6">
      <c r="A35" s="107"/>
      <c r="B35" s="107"/>
      <c r="C35" s="107"/>
      <c r="D35" s="107"/>
      <c r="E35" s="107"/>
      <c r="F35" s="107"/>
      <c r="G35" s="34" t="s">
        <v>21</v>
      </c>
      <c r="H35" s="33" t="s">
        <v>22</v>
      </c>
      <c r="I35" s="32" t="s">
        <v>23</v>
      </c>
      <c r="J35" s="34" t="s">
        <v>21</v>
      </c>
      <c r="K35" s="33" t="s">
        <v>22</v>
      </c>
      <c r="L35" s="32" t="s">
        <v>23</v>
      </c>
      <c r="M35" s="107"/>
    </row>
    <row r="36" spans="1:13" ht="16.8">
      <c r="A36" s="108" t="s">
        <v>600</v>
      </c>
      <c r="B36" s="108"/>
      <c r="C36" s="108"/>
      <c r="D36" s="108"/>
      <c r="E36" s="108"/>
      <c r="F36" s="108"/>
      <c r="G36" s="108"/>
      <c r="H36" s="108"/>
      <c r="I36" s="108"/>
      <c r="J36" s="108"/>
      <c r="K36" s="108"/>
      <c r="L36" s="108"/>
      <c r="M36" s="108"/>
    </row>
    <row r="37" spans="1:13" ht="33.6">
      <c r="A37" s="30" t="s">
        <v>115</v>
      </c>
      <c r="B37" s="25" t="s">
        <v>599</v>
      </c>
      <c r="C37" s="19"/>
      <c r="D37" s="19"/>
      <c r="E37" s="29" t="s">
        <v>523</v>
      </c>
      <c r="F37" s="29" t="s">
        <v>522</v>
      </c>
      <c r="G37" s="48" t="s">
        <v>117</v>
      </c>
      <c r="H37" s="5" t="s">
        <v>412</v>
      </c>
      <c r="I37" s="67" t="s">
        <v>32</v>
      </c>
      <c r="J37" s="21"/>
      <c r="K37" s="28"/>
      <c r="L37" s="20"/>
      <c r="M37" s="19"/>
    </row>
    <row r="38" spans="1:13" ht="50.4">
      <c r="A38" s="30" t="s">
        <v>112</v>
      </c>
      <c r="B38" s="25" t="s">
        <v>598</v>
      </c>
      <c r="C38" s="19"/>
      <c r="D38" s="19"/>
      <c r="E38" s="29" t="s">
        <v>585</v>
      </c>
      <c r="F38" s="29" t="s">
        <v>597</v>
      </c>
      <c r="G38" s="48" t="s">
        <v>117</v>
      </c>
      <c r="H38" s="5" t="s">
        <v>412</v>
      </c>
      <c r="I38" s="67" t="s">
        <v>32</v>
      </c>
      <c r="J38" s="21"/>
      <c r="K38" s="28"/>
      <c r="L38" s="20"/>
      <c r="M38" s="19"/>
    </row>
    <row r="39" spans="1:13" ht="33.6">
      <c r="A39" s="30" t="s">
        <v>110</v>
      </c>
      <c r="B39" s="25" t="s">
        <v>596</v>
      </c>
      <c r="C39" s="19"/>
      <c r="D39" s="19"/>
      <c r="E39" s="29" t="s">
        <v>593</v>
      </c>
      <c r="F39" s="29" t="s">
        <v>592</v>
      </c>
      <c r="G39" s="48" t="s">
        <v>117</v>
      </c>
      <c r="H39" s="5" t="s">
        <v>412</v>
      </c>
      <c r="I39" s="67" t="s">
        <v>32</v>
      </c>
      <c r="J39" s="21"/>
      <c r="K39" s="28"/>
      <c r="L39" s="20"/>
      <c r="M39" s="19"/>
    </row>
    <row r="40" spans="1:13" ht="33.6">
      <c r="A40" s="30" t="s">
        <v>108</v>
      </c>
      <c r="B40" s="25" t="s">
        <v>595</v>
      </c>
      <c r="C40" s="19"/>
      <c r="D40" s="19"/>
      <c r="E40" s="29" t="s">
        <v>593</v>
      </c>
      <c r="F40" s="29" t="s">
        <v>592</v>
      </c>
      <c r="G40" s="48" t="s">
        <v>117</v>
      </c>
      <c r="H40" s="5" t="s">
        <v>412</v>
      </c>
      <c r="I40" s="67" t="s">
        <v>32</v>
      </c>
      <c r="J40" s="21"/>
      <c r="K40" s="28"/>
      <c r="L40" s="20"/>
      <c r="M40" s="19"/>
    </row>
    <row r="41" spans="1:13" ht="33.6">
      <c r="A41" s="30" t="s">
        <v>515</v>
      </c>
      <c r="B41" s="25" t="s">
        <v>594</v>
      </c>
      <c r="C41" s="19"/>
      <c r="D41" s="19"/>
      <c r="E41" s="29" t="s">
        <v>593</v>
      </c>
      <c r="F41" s="29" t="s">
        <v>592</v>
      </c>
      <c r="G41" s="48" t="s">
        <v>117</v>
      </c>
      <c r="H41" s="5" t="s">
        <v>412</v>
      </c>
      <c r="I41" s="67" t="s">
        <v>32</v>
      </c>
      <c r="J41" s="21"/>
      <c r="K41" s="28"/>
      <c r="L41" s="20"/>
      <c r="M41" s="19"/>
    </row>
    <row r="42" spans="1:13" ht="50.4">
      <c r="A42" s="30" t="s">
        <v>513</v>
      </c>
      <c r="B42" s="25" t="s">
        <v>591</v>
      </c>
      <c r="C42" s="19"/>
      <c r="D42" s="19"/>
      <c r="E42" s="29" t="s">
        <v>590</v>
      </c>
      <c r="F42" s="29" t="s">
        <v>589</v>
      </c>
      <c r="G42" s="48" t="s">
        <v>117</v>
      </c>
      <c r="H42" s="5" t="s">
        <v>412</v>
      </c>
      <c r="I42" s="67" t="s">
        <v>32</v>
      </c>
      <c r="J42" s="21"/>
      <c r="K42" s="28"/>
      <c r="L42" s="20"/>
      <c r="M42" s="19"/>
    </row>
    <row r="43" spans="1:13" ht="50.4">
      <c r="A43" s="30" t="s">
        <v>511</v>
      </c>
      <c r="B43" s="25" t="s">
        <v>588</v>
      </c>
      <c r="C43" s="19"/>
      <c r="D43" s="19"/>
      <c r="E43" s="29" t="s">
        <v>587</v>
      </c>
      <c r="F43" s="29" t="s">
        <v>587</v>
      </c>
      <c r="G43" s="48" t="s">
        <v>117</v>
      </c>
      <c r="H43" s="5" t="s">
        <v>412</v>
      </c>
      <c r="I43" s="67" t="s">
        <v>32</v>
      </c>
      <c r="J43" s="21"/>
      <c r="K43" s="28"/>
      <c r="L43" s="20"/>
      <c r="M43" s="19"/>
    </row>
    <row r="44" spans="1:13" ht="50.4">
      <c r="A44" s="30" t="s">
        <v>508</v>
      </c>
      <c r="B44" s="25" t="s">
        <v>586</v>
      </c>
      <c r="C44" s="19"/>
      <c r="D44" s="19"/>
      <c r="E44" s="29" t="s">
        <v>585</v>
      </c>
      <c r="F44" s="29" t="s">
        <v>584</v>
      </c>
      <c r="G44" s="48" t="s">
        <v>117</v>
      </c>
      <c r="H44" s="5" t="s">
        <v>412</v>
      </c>
      <c r="I44" s="67" t="s">
        <v>32</v>
      </c>
      <c r="J44" s="21"/>
      <c r="K44" s="28"/>
      <c r="L44" s="20"/>
      <c r="M44" s="19"/>
    </row>
    <row r="45" spans="1:13" ht="33.6">
      <c r="A45" s="30" t="s">
        <v>506</v>
      </c>
      <c r="B45" s="25" t="s">
        <v>583</v>
      </c>
      <c r="C45" s="19"/>
      <c r="D45" s="19"/>
      <c r="E45" s="29" t="s">
        <v>573</v>
      </c>
      <c r="F45" s="29" t="s">
        <v>582</v>
      </c>
      <c r="G45" s="48" t="s">
        <v>117</v>
      </c>
      <c r="H45" s="5" t="s">
        <v>412</v>
      </c>
      <c r="I45" s="67" t="s">
        <v>32</v>
      </c>
      <c r="J45" s="21"/>
      <c r="K45" s="28"/>
      <c r="L45" s="20"/>
      <c r="M45" s="19"/>
    </row>
    <row r="46" spans="1:13" ht="50.4">
      <c r="A46" s="30" t="s">
        <v>502</v>
      </c>
      <c r="B46" s="25" t="s">
        <v>581</v>
      </c>
      <c r="C46" s="19"/>
      <c r="D46" s="19"/>
      <c r="E46" s="29" t="s">
        <v>580</v>
      </c>
      <c r="F46" s="29" t="s">
        <v>580</v>
      </c>
      <c r="G46" s="48" t="s">
        <v>117</v>
      </c>
      <c r="H46" s="5" t="s">
        <v>412</v>
      </c>
      <c r="I46" s="67" t="s">
        <v>32</v>
      </c>
      <c r="J46" s="21"/>
      <c r="K46" s="28"/>
      <c r="L46" s="20"/>
      <c r="M46" s="19"/>
    </row>
    <row r="47" spans="1:13" ht="50.4">
      <c r="A47" s="30" t="s">
        <v>500</v>
      </c>
      <c r="B47" s="25" t="s">
        <v>579</v>
      </c>
      <c r="C47" s="19"/>
      <c r="D47" s="19"/>
      <c r="E47" s="29" t="s">
        <v>578</v>
      </c>
      <c r="F47" s="29" t="s">
        <v>578</v>
      </c>
      <c r="G47" s="48" t="s">
        <v>117</v>
      </c>
      <c r="H47" s="5" t="s">
        <v>412</v>
      </c>
      <c r="I47" s="67" t="s">
        <v>32</v>
      </c>
      <c r="J47" s="21"/>
      <c r="K47" s="28"/>
      <c r="L47" s="20"/>
      <c r="M47" s="19"/>
    </row>
    <row r="48" spans="1:13" ht="50.4">
      <c r="A48" s="30" t="s">
        <v>498</v>
      </c>
      <c r="B48" s="25" t="s">
        <v>577</v>
      </c>
      <c r="C48" s="19"/>
      <c r="D48" s="19"/>
      <c r="E48" s="29" t="s">
        <v>573</v>
      </c>
      <c r="F48" s="29" t="s">
        <v>572</v>
      </c>
      <c r="G48" s="48" t="s">
        <v>117</v>
      </c>
      <c r="H48" s="5" t="s">
        <v>412</v>
      </c>
      <c r="I48" s="67" t="s">
        <v>32</v>
      </c>
      <c r="J48" s="21"/>
      <c r="K48" s="28"/>
      <c r="L48" s="20"/>
      <c r="M48" s="19"/>
    </row>
    <row r="49" spans="1:13" ht="50.4">
      <c r="A49" s="30" t="s">
        <v>494</v>
      </c>
      <c r="B49" s="25" t="s">
        <v>576</v>
      </c>
      <c r="C49" s="19"/>
      <c r="D49" s="19"/>
      <c r="E49" s="29" t="s">
        <v>573</v>
      </c>
      <c r="F49" s="29" t="s">
        <v>572</v>
      </c>
      <c r="G49" s="48" t="s">
        <v>117</v>
      </c>
      <c r="H49" s="5" t="s">
        <v>412</v>
      </c>
      <c r="I49" s="67" t="s">
        <v>32</v>
      </c>
      <c r="J49" s="21"/>
      <c r="K49" s="28"/>
      <c r="L49" s="20"/>
      <c r="M49" s="19"/>
    </row>
    <row r="50" spans="1:13" ht="50.4">
      <c r="A50" s="30" t="s">
        <v>492</v>
      </c>
      <c r="B50" s="25" t="s">
        <v>575</v>
      </c>
      <c r="C50" s="19"/>
      <c r="D50" s="19"/>
      <c r="E50" s="29" t="s">
        <v>573</v>
      </c>
      <c r="F50" s="29" t="s">
        <v>572</v>
      </c>
      <c r="G50" s="48" t="s">
        <v>117</v>
      </c>
      <c r="H50" s="5" t="s">
        <v>412</v>
      </c>
      <c r="I50" s="67" t="s">
        <v>32</v>
      </c>
      <c r="J50" s="21"/>
      <c r="K50" s="28"/>
      <c r="L50" s="20"/>
      <c r="M50" s="19"/>
    </row>
    <row r="51" spans="1:13" ht="33.6">
      <c r="A51" s="30" t="s">
        <v>489</v>
      </c>
      <c r="B51" s="25" t="s">
        <v>574</v>
      </c>
      <c r="C51" s="19"/>
      <c r="D51" s="19"/>
      <c r="E51" s="29" t="s">
        <v>573</v>
      </c>
      <c r="F51" s="29" t="s">
        <v>572</v>
      </c>
      <c r="G51" s="48" t="s">
        <v>117</v>
      </c>
      <c r="H51" s="5" t="s">
        <v>412</v>
      </c>
      <c r="I51" s="67" t="s">
        <v>32</v>
      </c>
      <c r="J51" s="21"/>
      <c r="K51" s="28"/>
      <c r="L51" s="20"/>
      <c r="M51" s="19"/>
    </row>
    <row r="54" spans="1:13" ht="16.8">
      <c r="A54" s="104" t="s">
        <v>571</v>
      </c>
      <c r="B54" s="104"/>
      <c r="C54" s="104"/>
      <c r="D54" s="104"/>
      <c r="E54" s="104"/>
      <c r="F54" s="104"/>
      <c r="G54" s="104"/>
      <c r="H54" s="104"/>
      <c r="I54" s="104"/>
      <c r="J54" s="104"/>
      <c r="K54" s="104"/>
      <c r="L54" s="104"/>
      <c r="M54" s="104"/>
    </row>
    <row r="55" spans="1:13" ht="116.4" customHeight="1">
      <c r="A55" s="25" t="s">
        <v>64</v>
      </c>
      <c r="B55" s="24" t="s">
        <v>570</v>
      </c>
      <c r="C55" s="24" t="s">
        <v>569</v>
      </c>
      <c r="D55" s="23" t="s">
        <v>38</v>
      </c>
      <c r="E55" s="22" t="s">
        <v>418</v>
      </c>
      <c r="F55" s="22" t="s">
        <v>418</v>
      </c>
      <c r="G55" s="48" t="s">
        <v>117</v>
      </c>
      <c r="H55" s="5" t="s">
        <v>412</v>
      </c>
      <c r="I55" s="67" t="s">
        <v>32</v>
      </c>
      <c r="J55" s="48" t="s">
        <v>117</v>
      </c>
      <c r="K55" s="5" t="s">
        <v>411</v>
      </c>
      <c r="L55" s="67" t="s">
        <v>32</v>
      </c>
      <c r="M55" s="19"/>
    </row>
    <row r="56" spans="1:13" ht="67.2">
      <c r="A56" s="25" t="s">
        <v>61</v>
      </c>
      <c r="B56" s="25" t="s">
        <v>568</v>
      </c>
      <c r="C56" s="24" t="s">
        <v>567</v>
      </c>
      <c r="D56" s="23" t="s">
        <v>38</v>
      </c>
      <c r="E56" s="22" t="s">
        <v>566</v>
      </c>
      <c r="F56" s="22" t="s">
        <v>566</v>
      </c>
      <c r="G56" s="48" t="s">
        <v>117</v>
      </c>
      <c r="H56" s="5" t="s">
        <v>412</v>
      </c>
      <c r="I56" s="67" t="s">
        <v>32</v>
      </c>
      <c r="J56" s="48" t="s">
        <v>117</v>
      </c>
      <c r="K56" s="5" t="s">
        <v>411</v>
      </c>
      <c r="L56" s="67" t="s">
        <v>32</v>
      </c>
      <c r="M56" s="19"/>
    </row>
    <row r="57" spans="1:13" ht="67.2">
      <c r="A57" s="25" t="s">
        <v>57</v>
      </c>
      <c r="B57" s="25" t="s">
        <v>565</v>
      </c>
      <c r="C57" s="24" t="s">
        <v>564</v>
      </c>
      <c r="D57" s="23" t="s">
        <v>38</v>
      </c>
      <c r="E57" s="22" t="s">
        <v>563</v>
      </c>
      <c r="F57" s="22" t="s">
        <v>563</v>
      </c>
      <c r="G57" s="48" t="s">
        <v>117</v>
      </c>
      <c r="H57" s="5" t="s">
        <v>412</v>
      </c>
      <c r="I57" s="67" t="s">
        <v>32</v>
      </c>
      <c r="J57" s="48" t="s">
        <v>117</v>
      </c>
      <c r="K57" s="5" t="s">
        <v>411</v>
      </c>
      <c r="L57" s="67" t="s">
        <v>32</v>
      </c>
      <c r="M57" s="19"/>
    </row>
    <row r="58" spans="1:13" ht="157.19999999999999" customHeight="1">
      <c r="A58" s="25" t="s">
        <v>53</v>
      </c>
      <c r="B58" s="24" t="s">
        <v>562</v>
      </c>
      <c r="C58" s="24" t="s">
        <v>561</v>
      </c>
      <c r="D58" s="23" t="s">
        <v>38</v>
      </c>
      <c r="E58" s="1" t="s">
        <v>560</v>
      </c>
      <c r="F58" s="1" t="s">
        <v>560</v>
      </c>
      <c r="G58" s="48" t="s">
        <v>117</v>
      </c>
      <c r="H58" s="5" t="s">
        <v>412</v>
      </c>
      <c r="I58" s="67" t="s">
        <v>32</v>
      </c>
      <c r="J58" s="48" t="s">
        <v>117</v>
      </c>
      <c r="K58" s="5" t="s">
        <v>411</v>
      </c>
      <c r="L58" s="67" t="s">
        <v>32</v>
      </c>
      <c r="M58" s="19"/>
    </row>
    <row r="59" spans="1:13" ht="216" customHeight="1">
      <c r="A59" s="25" t="s">
        <v>49</v>
      </c>
      <c r="B59" s="25" t="s">
        <v>559</v>
      </c>
      <c r="C59" s="24" t="s">
        <v>558</v>
      </c>
      <c r="D59" s="23" t="s">
        <v>38</v>
      </c>
      <c r="E59" s="22" t="s">
        <v>557</v>
      </c>
      <c r="F59" s="22" t="s">
        <v>557</v>
      </c>
      <c r="G59" s="48" t="s">
        <v>117</v>
      </c>
      <c r="H59" s="5" t="s">
        <v>412</v>
      </c>
      <c r="I59" s="67" t="s">
        <v>32</v>
      </c>
      <c r="J59" s="48" t="s">
        <v>117</v>
      </c>
      <c r="K59" s="5" t="s">
        <v>411</v>
      </c>
      <c r="L59" s="67" t="s">
        <v>32</v>
      </c>
      <c r="M59" s="19"/>
    </row>
    <row r="60" spans="1:13" ht="163.19999999999999" customHeight="1">
      <c r="A60" s="25" t="s">
        <v>45</v>
      </c>
      <c r="B60" s="25" t="s">
        <v>556</v>
      </c>
      <c r="C60" s="24" t="s">
        <v>555</v>
      </c>
      <c r="D60" s="23" t="s">
        <v>38</v>
      </c>
      <c r="E60" s="22" t="s">
        <v>554</v>
      </c>
      <c r="F60" s="22" t="s">
        <v>554</v>
      </c>
      <c r="G60" s="48" t="s">
        <v>117</v>
      </c>
      <c r="H60" s="5" t="s">
        <v>412</v>
      </c>
      <c r="I60" s="67" t="s">
        <v>32</v>
      </c>
      <c r="J60" s="48" t="s">
        <v>117</v>
      </c>
      <c r="K60" s="5" t="s">
        <v>411</v>
      </c>
      <c r="L60" s="67" t="s">
        <v>32</v>
      </c>
      <c r="M60" s="19"/>
    </row>
    <row r="61" spans="1:13" ht="202.8" customHeight="1">
      <c r="A61" s="25" t="s">
        <v>41</v>
      </c>
      <c r="B61" s="25" t="s">
        <v>553</v>
      </c>
      <c r="C61" s="24" t="s">
        <v>552</v>
      </c>
      <c r="D61" s="23" t="s">
        <v>38</v>
      </c>
      <c r="E61" s="22" t="s">
        <v>551</v>
      </c>
      <c r="F61" s="22" t="s">
        <v>551</v>
      </c>
      <c r="G61" s="48" t="s">
        <v>117</v>
      </c>
      <c r="H61" s="5" t="s">
        <v>412</v>
      </c>
      <c r="I61" s="67" t="s">
        <v>32</v>
      </c>
      <c r="J61" s="48" t="s">
        <v>117</v>
      </c>
      <c r="K61" s="5" t="s">
        <v>411</v>
      </c>
      <c r="L61" s="67" t="s">
        <v>32</v>
      </c>
      <c r="M61" s="19"/>
    </row>
    <row r="62" spans="1:13" ht="198" customHeight="1">
      <c r="A62" s="25" t="s">
        <v>448</v>
      </c>
      <c r="B62" s="24" t="s">
        <v>550</v>
      </c>
      <c r="C62" s="24" t="s">
        <v>549</v>
      </c>
      <c r="D62" s="23" t="s">
        <v>38</v>
      </c>
      <c r="E62" s="22" t="s">
        <v>548</v>
      </c>
      <c r="F62" s="22" t="s">
        <v>548</v>
      </c>
      <c r="G62" s="48" t="s">
        <v>121</v>
      </c>
      <c r="H62" s="5" t="s">
        <v>412</v>
      </c>
      <c r="I62" s="67" t="s">
        <v>32</v>
      </c>
      <c r="J62" s="48" t="s">
        <v>117</v>
      </c>
      <c r="K62" s="5" t="s">
        <v>411</v>
      </c>
      <c r="L62" s="67" t="s">
        <v>32</v>
      </c>
      <c r="M62" s="19"/>
    </row>
    <row r="63" spans="1:13" ht="154.80000000000001" customHeight="1">
      <c r="A63" s="25" t="s">
        <v>444</v>
      </c>
      <c r="B63" s="24" t="s">
        <v>547</v>
      </c>
      <c r="C63" s="24" t="s">
        <v>546</v>
      </c>
      <c r="D63" s="23" t="s">
        <v>38</v>
      </c>
      <c r="E63" s="22" t="s">
        <v>545</v>
      </c>
      <c r="F63" s="22" t="s">
        <v>545</v>
      </c>
      <c r="G63" s="48" t="s">
        <v>117</v>
      </c>
      <c r="H63" s="5" t="s">
        <v>412</v>
      </c>
      <c r="I63" s="67" t="s">
        <v>32</v>
      </c>
      <c r="J63" s="48" t="s">
        <v>117</v>
      </c>
      <c r="K63" s="5" t="s">
        <v>411</v>
      </c>
      <c r="L63" s="67" t="s">
        <v>32</v>
      </c>
      <c r="M63" s="19"/>
    </row>
    <row r="64" spans="1:13" ht="164.4" customHeight="1">
      <c r="A64" s="25" t="s">
        <v>440</v>
      </c>
      <c r="B64" s="24" t="s">
        <v>544</v>
      </c>
      <c r="C64" s="24" t="s">
        <v>543</v>
      </c>
      <c r="D64" s="23" t="s">
        <v>38</v>
      </c>
      <c r="E64" s="22" t="s">
        <v>542</v>
      </c>
      <c r="F64" s="22" t="s">
        <v>542</v>
      </c>
      <c r="G64" s="48" t="s">
        <v>121</v>
      </c>
      <c r="H64" s="5" t="s">
        <v>412</v>
      </c>
      <c r="I64" s="67" t="s">
        <v>32</v>
      </c>
      <c r="J64" s="48" t="s">
        <v>117</v>
      </c>
      <c r="K64" s="5" t="s">
        <v>411</v>
      </c>
      <c r="L64" s="67" t="s">
        <v>32</v>
      </c>
      <c r="M64" s="19"/>
    </row>
    <row r="65" spans="1:13" ht="129.6" customHeight="1">
      <c r="A65" s="25" t="s">
        <v>436</v>
      </c>
      <c r="B65" s="24" t="s">
        <v>541</v>
      </c>
      <c r="C65" s="24" t="s">
        <v>540</v>
      </c>
      <c r="D65" s="23" t="s">
        <v>38</v>
      </c>
      <c r="E65" s="22" t="s">
        <v>539</v>
      </c>
      <c r="F65" s="22" t="s">
        <v>539</v>
      </c>
      <c r="G65" s="48" t="s">
        <v>117</v>
      </c>
      <c r="H65" s="5" t="s">
        <v>412</v>
      </c>
      <c r="I65" s="67" t="s">
        <v>32</v>
      </c>
      <c r="J65" s="48" t="s">
        <v>117</v>
      </c>
      <c r="K65" s="5" t="s">
        <v>411</v>
      </c>
      <c r="L65" s="67" t="s">
        <v>32</v>
      </c>
      <c r="M65" s="19"/>
    </row>
    <row r="66" spans="1:13" ht="106.8" customHeight="1">
      <c r="A66" s="25" t="s">
        <v>432</v>
      </c>
      <c r="B66" s="24" t="s">
        <v>538</v>
      </c>
      <c r="C66" s="24" t="s">
        <v>537</v>
      </c>
      <c r="D66" s="23" t="s">
        <v>38</v>
      </c>
      <c r="E66" s="22" t="s">
        <v>536</v>
      </c>
      <c r="F66" s="22" t="s">
        <v>536</v>
      </c>
      <c r="G66" s="48" t="s">
        <v>121</v>
      </c>
      <c r="H66" s="5" t="s">
        <v>412</v>
      </c>
      <c r="I66" s="67" t="s">
        <v>32</v>
      </c>
      <c r="J66" s="48" t="s">
        <v>117</v>
      </c>
      <c r="K66" s="5" t="s">
        <v>411</v>
      </c>
      <c r="L66" s="67" t="s">
        <v>32</v>
      </c>
      <c r="M66" s="19"/>
    </row>
    <row r="67" spans="1:13" ht="192" customHeight="1">
      <c r="A67" s="25" t="s">
        <v>429</v>
      </c>
      <c r="B67" s="24" t="s">
        <v>535</v>
      </c>
      <c r="C67" s="24" t="s">
        <v>534</v>
      </c>
      <c r="D67" s="23" t="s">
        <v>38</v>
      </c>
      <c r="E67" s="22" t="s">
        <v>533</v>
      </c>
      <c r="F67" s="22" t="s">
        <v>533</v>
      </c>
      <c r="G67" s="48" t="s">
        <v>117</v>
      </c>
      <c r="H67" s="5" t="s">
        <v>412</v>
      </c>
      <c r="I67" s="67" t="s">
        <v>32</v>
      </c>
      <c r="J67" s="48" t="s">
        <v>117</v>
      </c>
      <c r="K67" s="5" t="s">
        <v>411</v>
      </c>
      <c r="L67" s="67" t="s">
        <v>32</v>
      </c>
      <c r="M67" s="19"/>
    </row>
    <row r="68" spans="1:13" ht="67.2">
      <c r="A68" s="25" t="s">
        <v>425</v>
      </c>
      <c r="B68" s="24" t="s">
        <v>532</v>
      </c>
      <c r="C68" s="24" t="s">
        <v>531</v>
      </c>
      <c r="D68" s="23" t="s">
        <v>38</v>
      </c>
      <c r="E68" s="22" t="s">
        <v>530</v>
      </c>
      <c r="F68" s="22" t="s">
        <v>530</v>
      </c>
      <c r="G68" s="48" t="s">
        <v>117</v>
      </c>
      <c r="H68" s="5" t="s">
        <v>412</v>
      </c>
      <c r="I68" s="67" t="s">
        <v>32</v>
      </c>
      <c r="J68" s="48" t="s">
        <v>117</v>
      </c>
      <c r="K68" s="5" t="s">
        <v>411</v>
      </c>
      <c r="L68" s="67" t="s">
        <v>32</v>
      </c>
      <c r="M68" s="19"/>
    </row>
  </sheetData>
  <mergeCells count="15">
    <mergeCell ref="A54:M54"/>
    <mergeCell ref="B1:F1"/>
    <mergeCell ref="B2:F2"/>
    <mergeCell ref="A33:A35"/>
    <mergeCell ref="B33:B35"/>
    <mergeCell ref="C33:C35"/>
    <mergeCell ref="D33:D35"/>
    <mergeCell ref="E33:E35"/>
    <mergeCell ref="F33:F35"/>
    <mergeCell ref="A36:M36"/>
    <mergeCell ref="G33:I33"/>
    <mergeCell ref="J33:L33"/>
    <mergeCell ref="M33:M35"/>
    <mergeCell ref="G34:I34"/>
    <mergeCell ref="J34:L34"/>
  </mergeCells>
  <phoneticPr fontId="8" type="noConversion"/>
  <conditionalFormatting sqref="J55:J56">
    <cfRule type="containsText" dxfId="71" priority="33" operator="containsText" text="Pass">
      <formula>NOT(ISERROR(SEARCH("Pass",J55)))</formula>
    </cfRule>
    <cfRule type="containsText" dxfId="70" priority="34" operator="containsText" text="Fail">
      <formula>NOT(ISERROR(SEARCH("Fail",J55)))</formula>
    </cfRule>
    <cfRule type="containsText" dxfId="69" priority="35" operator="containsText" text="Pass">
      <formula>NOT(ISERROR(SEARCH("Pass",J55)))</formula>
    </cfRule>
    <cfRule type="colorScale" priority="36">
      <colorScale>
        <cfvo type="min"/>
        <cfvo type="percentile" val="50"/>
        <cfvo type="max"/>
        <color rgb="FFF8696B"/>
        <color rgb="FFFFEB84"/>
        <color rgb="FF63BE7B"/>
      </colorScale>
    </cfRule>
  </conditionalFormatting>
  <conditionalFormatting sqref="J57:J68">
    <cfRule type="containsText" dxfId="68" priority="29" operator="containsText" text="Pass">
      <formula>NOT(ISERROR(SEARCH("Pass",J57)))</formula>
    </cfRule>
    <cfRule type="containsText" dxfId="67" priority="30" operator="containsText" text="Fail">
      <formula>NOT(ISERROR(SEARCH("Fail",J57)))</formula>
    </cfRule>
    <cfRule type="containsText" dxfId="66" priority="31" operator="containsText" text="Pass">
      <formula>NOT(ISERROR(SEARCH("Pass",J57)))</formula>
    </cfRule>
    <cfRule type="colorScale" priority="32">
      <colorScale>
        <cfvo type="min"/>
        <cfvo type="percentile" val="50"/>
        <cfvo type="max"/>
        <color rgb="FFF8696B"/>
        <color rgb="FFFFEB84"/>
        <color rgb="FF63BE7B"/>
      </colorScale>
    </cfRule>
  </conditionalFormatting>
  <conditionalFormatting sqref="G55:G63">
    <cfRule type="containsText" dxfId="65" priority="25" operator="containsText" text="Pass">
      <formula>NOT(ISERROR(SEARCH("Pass",G55)))</formula>
    </cfRule>
    <cfRule type="containsText" dxfId="64" priority="26" operator="containsText" text="Fail">
      <formula>NOT(ISERROR(SEARCH("Fail",G55)))</formula>
    </cfRule>
    <cfRule type="containsText" dxfId="63" priority="27" operator="containsText" text="Pass">
      <formula>NOT(ISERROR(SEARCH("Pass",G55)))</formula>
    </cfRule>
    <cfRule type="colorScale" priority="28">
      <colorScale>
        <cfvo type="min"/>
        <cfvo type="percentile" val="50"/>
        <cfvo type="max"/>
        <color rgb="FFF8696B"/>
        <color rgb="FFFFEB84"/>
        <color rgb="FF63BE7B"/>
      </colorScale>
    </cfRule>
  </conditionalFormatting>
  <conditionalFormatting sqref="G65">
    <cfRule type="containsText" dxfId="62" priority="21" operator="containsText" text="Pass">
      <formula>NOT(ISERROR(SEARCH("Pass",G65)))</formula>
    </cfRule>
    <cfRule type="containsText" dxfId="61" priority="22" operator="containsText" text="Fail">
      <formula>NOT(ISERROR(SEARCH("Fail",G65)))</formula>
    </cfRule>
    <cfRule type="containsText" dxfId="60" priority="23" operator="containsText" text="Pass">
      <formula>NOT(ISERROR(SEARCH("Pass",G65)))</formula>
    </cfRule>
    <cfRule type="colorScale" priority="24">
      <colorScale>
        <cfvo type="min"/>
        <cfvo type="percentile" val="50"/>
        <cfvo type="max"/>
        <color rgb="FFF8696B"/>
        <color rgb="FFFFEB84"/>
        <color rgb="FF63BE7B"/>
      </colorScale>
    </cfRule>
  </conditionalFormatting>
  <conditionalFormatting sqref="G67">
    <cfRule type="containsText" dxfId="59" priority="17" operator="containsText" text="Pass">
      <formula>NOT(ISERROR(SEARCH("Pass",G67)))</formula>
    </cfRule>
    <cfRule type="containsText" dxfId="58" priority="18" operator="containsText" text="Fail">
      <formula>NOT(ISERROR(SEARCH("Fail",G67)))</formula>
    </cfRule>
    <cfRule type="containsText" dxfId="57" priority="19" operator="containsText" text="Pass">
      <formula>NOT(ISERROR(SEARCH("Pass",G67)))</formula>
    </cfRule>
    <cfRule type="colorScale" priority="20">
      <colorScale>
        <cfvo type="min"/>
        <cfvo type="percentile" val="50"/>
        <cfvo type="max"/>
        <color rgb="FFF8696B"/>
        <color rgb="FFFFEB84"/>
        <color rgb="FF63BE7B"/>
      </colorScale>
    </cfRule>
  </conditionalFormatting>
  <conditionalFormatting sqref="G68">
    <cfRule type="containsText" dxfId="56" priority="13" operator="containsText" text="Pass">
      <formula>NOT(ISERROR(SEARCH("Pass",G68)))</formula>
    </cfRule>
    <cfRule type="containsText" dxfId="55" priority="14" operator="containsText" text="Fail">
      <formula>NOT(ISERROR(SEARCH("Fail",G68)))</formula>
    </cfRule>
    <cfRule type="containsText" dxfId="54" priority="15" operator="containsText" text="Pass">
      <formula>NOT(ISERROR(SEARCH("Pass",G68)))</formula>
    </cfRule>
    <cfRule type="colorScale" priority="16">
      <colorScale>
        <cfvo type="min"/>
        <cfvo type="percentile" val="50"/>
        <cfvo type="max"/>
        <color rgb="FFF8696B"/>
        <color rgb="FFFFEB84"/>
        <color rgb="FF63BE7B"/>
      </colorScale>
    </cfRule>
  </conditionalFormatting>
  <conditionalFormatting sqref="G66">
    <cfRule type="containsText" dxfId="53" priority="9" operator="containsText" text="Pass">
      <formula>NOT(ISERROR(SEARCH("Pass",G66)))</formula>
    </cfRule>
    <cfRule type="containsText" dxfId="52" priority="10" operator="containsText" text="Fail">
      <formula>NOT(ISERROR(SEARCH("Fail",G66)))</formula>
    </cfRule>
    <cfRule type="containsText" dxfId="51" priority="11" operator="containsText" text="Pass">
      <formula>NOT(ISERROR(SEARCH("Pass",G66)))</formula>
    </cfRule>
    <cfRule type="colorScale" priority="12">
      <colorScale>
        <cfvo type="min"/>
        <cfvo type="percentile" val="50"/>
        <cfvo type="max"/>
        <color rgb="FFF8696B"/>
        <color rgb="FFFFEB84"/>
        <color rgb="FF63BE7B"/>
      </colorScale>
    </cfRule>
  </conditionalFormatting>
  <conditionalFormatting sqref="G64">
    <cfRule type="containsText" dxfId="50" priority="5" operator="containsText" text="Pass">
      <formula>NOT(ISERROR(SEARCH("Pass",G64)))</formula>
    </cfRule>
    <cfRule type="containsText" dxfId="49" priority="6" operator="containsText" text="Fail">
      <formula>NOT(ISERROR(SEARCH("Fail",G64)))</formula>
    </cfRule>
    <cfRule type="containsText" dxfId="48" priority="7" operator="containsText" text="Pass">
      <formula>NOT(ISERROR(SEARCH("Pass",G64)))</formula>
    </cfRule>
    <cfRule type="colorScale" priority="8">
      <colorScale>
        <cfvo type="min"/>
        <cfvo type="percentile" val="50"/>
        <cfvo type="max"/>
        <color rgb="FFF8696B"/>
        <color rgb="FFFFEB84"/>
        <color rgb="FF63BE7B"/>
      </colorScale>
    </cfRule>
  </conditionalFormatting>
  <conditionalFormatting sqref="G37:G51">
    <cfRule type="containsText" dxfId="47" priority="1" operator="containsText" text="Pass">
      <formula>NOT(ISERROR(SEARCH("Pass",G37)))</formula>
    </cfRule>
    <cfRule type="containsText" dxfId="46" priority="2" operator="containsText" text="Fail">
      <formula>NOT(ISERROR(SEARCH("Fail",G37)))</formula>
    </cfRule>
    <cfRule type="containsText" dxfId="45" priority="3" operator="containsText" text="Pass">
      <formula>NOT(ISERROR(SEARCH("Pass",G37)))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37:J51" xr:uid="{5196B476-6476-4BA5-AF87-64F448AD47D4}">
      <formula1>"Passed,Untested,Failed,Blocked"</formula1>
      <formula2>0</formula2>
    </dataValidation>
    <dataValidation type="list" allowBlank="1" showErrorMessage="1" sqref="J55:J68 G55:G68 G37:G51" xr:uid="{D1EB89EE-6626-4710-84E0-24A27A9A7D14}">
      <formula1>"Pass,Fail"</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AFDC-ACDA-4425-8D14-2D32EE0E5239}">
  <dimension ref="A1:M75"/>
  <sheetViews>
    <sheetView topLeftCell="A67" zoomScale="55" zoomScaleNormal="55" workbookViewId="0">
      <selection activeCell="P72" sqref="P72"/>
    </sheetView>
  </sheetViews>
  <sheetFormatPr defaultRowHeight="14.4"/>
  <cols>
    <col min="1" max="1" width="20.33203125" customWidth="1"/>
    <col min="2" max="2" width="36.21875" customWidth="1"/>
    <col min="3" max="3" width="15.21875" customWidth="1"/>
    <col min="4" max="4" width="18.44140625" customWidth="1"/>
    <col min="5" max="5" width="20.6640625" customWidth="1"/>
    <col min="6" max="6" width="32.88671875" customWidth="1"/>
    <col min="8" max="8" width="14" customWidth="1"/>
    <col min="11" max="11" width="15.88671875" customWidth="1"/>
  </cols>
  <sheetData>
    <row r="1" spans="1:6" ht="16.8">
      <c r="A1" s="81" t="s">
        <v>6</v>
      </c>
      <c r="B1" s="105" t="s">
        <v>529</v>
      </c>
      <c r="C1" s="105"/>
      <c r="D1" s="105"/>
      <c r="E1" s="105"/>
      <c r="F1" s="105"/>
    </row>
    <row r="2" spans="1:6" ht="16.8">
      <c r="A2" s="81" t="s">
        <v>7</v>
      </c>
      <c r="B2" s="106" t="s">
        <v>528</v>
      </c>
      <c r="C2" s="106"/>
      <c r="D2" s="106"/>
      <c r="E2" s="106"/>
      <c r="F2" s="106"/>
    </row>
    <row r="3" spans="1:6" ht="16.8">
      <c r="A3" s="76"/>
      <c r="B3" s="79" t="s">
        <v>8</v>
      </c>
      <c r="C3" s="79" t="s">
        <v>9</v>
      </c>
      <c r="D3" s="79" t="s">
        <v>10</v>
      </c>
      <c r="E3" s="80" t="s">
        <v>527</v>
      </c>
      <c r="F3" s="79" t="s">
        <v>526</v>
      </c>
    </row>
    <row r="4" spans="1:6" ht="16.8">
      <c r="A4" s="78" t="s">
        <v>11</v>
      </c>
      <c r="B4" s="76">
        <v>37</v>
      </c>
      <c r="C4" s="76">
        <v>0</v>
      </c>
      <c r="D4" s="76">
        <v>0</v>
      </c>
      <c r="E4" s="76">
        <v>0</v>
      </c>
      <c r="F4" s="76">
        <v>37</v>
      </c>
    </row>
    <row r="5" spans="1:6" ht="16.8">
      <c r="A5" s="78" t="s">
        <v>12</v>
      </c>
      <c r="B5" s="76">
        <v>16</v>
      </c>
      <c r="C5" s="76">
        <v>0</v>
      </c>
      <c r="D5" s="76">
        <v>0</v>
      </c>
      <c r="E5" s="77">
        <v>0</v>
      </c>
      <c r="F5" s="76">
        <v>16</v>
      </c>
    </row>
    <row r="33" spans="1:13" ht="16.8">
      <c r="A33" s="107" t="s">
        <v>13</v>
      </c>
      <c r="B33" s="107" t="s">
        <v>5</v>
      </c>
      <c r="C33" s="107" t="s">
        <v>80</v>
      </c>
      <c r="D33" s="107" t="s">
        <v>14</v>
      </c>
      <c r="E33" s="107" t="s">
        <v>15</v>
      </c>
      <c r="F33" s="107" t="s">
        <v>16</v>
      </c>
      <c r="G33" s="107" t="s">
        <v>17</v>
      </c>
      <c r="H33" s="107"/>
      <c r="I33" s="107"/>
      <c r="J33" s="107" t="s">
        <v>17</v>
      </c>
      <c r="K33" s="107"/>
      <c r="L33" s="107"/>
      <c r="M33" s="107" t="s">
        <v>18</v>
      </c>
    </row>
    <row r="34" spans="1:13" ht="16.8">
      <c r="A34" s="107"/>
      <c r="B34" s="107"/>
      <c r="C34" s="107"/>
      <c r="D34" s="107"/>
      <c r="E34" s="107"/>
      <c r="F34" s="107"/>
      <c r="G34" s="107" t="s">
        <v>19</v>
      </c>
      <c r="H34" s="107"/>
      <c r="I34" s="107"/>
      <c r="J34" s="107" t="s">
        <v>20</v>
      </c>
      <c r="K34" s="107"/>
      <c r="L34" s="107"/>
      <c r="M34" s="107"/>
    </row>
    <row r="35" spans="1:13" ht="50.4">
      <c r="A35" s="107"/>
      <c r="B35" s="107"/>
      <c r="C35" s="107"/>
      <c r="D35" s="107"/>
      <c r="E35" s="107"/>
      <c r="F35" s="107"/>
      <c r="G35" s="34" t="s">
        <v>21</v>
      </c>
      <c r="H35" s="33" t="s">
        <v>22</v>
      </c>
      <c r="I35" s="32" t="s">
        <v>23</v>
      </c>
      <c r="J35" s="34" t="s">
        <v>21</v>
      </c>
      <c r="K35" s="33" t="s">
        <v>22</v>
      </c>
      <c r="L35" s="32" t="s">
        <v>23</v>
      </c>
      <c r="M35" s="107"/>
    </row>
    <row r="36" spans="1:13" ht="16.8">
      <c r="A36" s="108" t="s">
        <v>525</v>
      </c>
      <c r="B36" s="108"/>
      <c r="C36" s="108"/>
      <c r="D36" s="108"/>
      <c r="E36" s="108"/>
      <c r="F36" s="108"/>
      <c r="G36" s="108"/>
      <c r="H36" s="108"/>
      <c r="I36" s="108"/>
      <c r="J36" s="108"/>
      <c r="K36" s="108"/>
      <c r="L36" s="108"/>
      <c r="M36" s="108"/>
    </row>
    <row r="37" spans="1:13" ht="33.6">
      <c r="A37" s="30" t="s">
        <v>115</v>
      </c>
      <c r="B37" s="25" t="s">
        <v>524</v>
      </c>
      <c r="C37" s="19"/>
      <c r="D37" s="19"/>
      <c r="E37" s="29" t="s">
        <v>523</v>
      </c>
      <c r="F37" s="29" t="s">
        <v>522</v>
      </c>
      <c r="G37" s="48" t="s">
        <v>117</v>
      </c>
      <c r="H37" s="5" t="s">
        <v>412</v>
      </c>
      <c r="I37" s="67" t="s">
        <v>24</v>
      </c>
      <c r="J37" s="21"/>
      <c r="K37" s="28"/>
      <c r="L37" s="20"/>
      <c r="M37" s="19"/>
    </row>
    <row r="38" spans="1:13" ht="50.4">
      <c r="A38" s="30" t="s">
        <v>112</v>
      </c>
      <c r="B38" s="75" t="s">
        <v>521</v>
      </c>
      <c r="C38" s="19"/>
      <c r="D38" s="19"/>
      <c r="E38" s="29" t="s">
        <v>468</v>
      </c>
      <c r="F38" s="29" t="s">
        <v>520</v>
      </c>
      <c r="G38" s="48" t="s">
        <v>117</v>
      </c>
      <c r="H38" s="5" t="s">
        <v>412</v>
      </c>
      <c r="I38" s="67" t="s">
        <v>24</v>
      </c>
      <c r="J38" s="21"/>
      <c r="K38" s="28"/>
      <c r="L38" s="20"/>
      <c r="M38" s="19"/>
    </row>
    <row r="39" spans="1:13" ht="50.4">
      <c r="A39" s="30" t="s">
        <v>110</v>
      </c>
      <c r="B39" s="25" t="s">
        <v>519</v>
      </c>
      <c r="C39" s="19"/>
      <c r="D39" s="19"/>
      <c r="E39" s="29" t="s">
        <v>518</v>
      </c>
      <c r="F39" s="29" t="s">
        <v>517</v>
      </c>
      <c r="G39" s="48" t="s">
        <v>117</v>
      </c>
      <c r="H39" s="5" t="s">
        <v>412</v>
      </c>
      <c r="I39" s="67" t="s">
        <v>24</v>
      </c>
      <c r="J39" s="21"/>
      <c r="K39" s="28"/>
      <c r="L39" s="20"/>
      <c r="M39" s="19"/>
    </row>
    <row r="40" spans="1:13" ht="33.6">
      <c r="A40" s="30" t="s">
        <v>108</v>
      </c>
      <c r="B40" s="74" t="s">
        <v>516</v>
      </c>
      <c r="C40" s="19"/>
      <c r="D40" s="19"/>
      <c r="E40" s="29" t="s">
        <v>504</v>
      </c>
      <c r="F40" s="29" t="s">
        <v>480</v>
      </c>
      <c r="G40" s="48" t="s">
        <v>117</v>
      </c>
      <c r="H40" s="5" t="s">
        <v>412</v>
      </c>
      <c r="I40" s="67" t="s">
        <v>24</v>
      </c>
      <c r="J40" s="21"/>
      <c r="K40" s="28"/>
      <c r="L40" s="20"/>
      <c r="M40" s="19"/>
    </row>
    <row r="41" spans="1:13" ht="33.6">
      <c r="A41" s="30" t="s">
        <v>515</v>
      </c>
      <c r="B41" s="25" t="s">
        <v>514</v>
      </c>
      <c r="C41" s="19"/>
      <c r="D41" s="19"/>
      <c r="E41" s="29" t="s">
        <v>474</v>
      </c>
      <c r="F41" s="29" t="s">
        <v>473</v>
      </c>
      <c r="G41" s="48" t="s">
        <v>117</v>
      </c>
      <c r="H41" s="5" t="s">
        <v>412</v>
      </c>
      <c r="I41" s="67" t="s">
        <v>24</v>
      </c>
      <c r="J41" s="21"/>
      <c r="K41" s="28"/>
      <c r="L41" s="20"/>
      <c r="M41" s="19"/>
    </row>
    <row r="42" spans="1:13" ht="33.6">
      <c r="A42" s="30" t="s">
        <v>513</v>
      </c>
      <c r="B42" s="25" t="s">
        <v>512</v>
      </c>
      <c r="C42" s="19"/>
      <c r="D42" s="19"/>
      <c r="E42" s="29" t="s">
        <v>474</v>
      </c>
      <c r="F42" s="29" t="s">
        <v>473</v>
      </c>
      <c r="G42" s="48" t="s">
        <v>117</v>
      </c>
      <c r="H42" s="5" t="s">
        <v>412</v>
      </c>
      <c r="I42" s="67" t="s">
        <v>24</v>
      </c>
      <c r="J42" s="21"/>
      <c r="K42" s="28"/>
      <c r="L42" s="20"/>
      <c r="M42" s="19"/>
    </row>
    <row r="43" spans="1:13" ht="50.4">
      <c r="A43" s="30" t="s">
        <v>511</v>
      </c>
      <c r="B43" s="73" t="s">
        <v>510</v>
      </c>
      <c r="C43" s="19"/>
      <c r="D43" s="19"/>
      <c r="E43" s="29" t="s">
        <v>468</v>
      </c>
      <c r="F43" s="29" t="s">
        <v>509</v>
      </c>
      <c r="G43" s="48" t="s">
        <v>117</v>
      </c>
      <c r="H43" s="5" t="s">
        <v>412</v>
      </c>
      <c r="I43" s="67" t="s">
        <v>24</v>
      </c>
      <c r="J43" s="21"/>
      <c r="K43" s="28"/>
      <c r="L43" s="20"/>
      <c r="M43" s="19"/>
    </row>
    <row r="44" spans="1:13" ht="33.6">
      <c r="A44" s="30" t="s">
        <v>508</v>
      </c>
      <c r="B44" s="25" t="s">
        <v>507</v>
      </c>
      <c r="C44" s="19"/>
      <c r="D44" s="19"/>
      <c r="E44" s="29" t="s">
        <v>504</v>
      </c>
      <c r="F44" s="29" t="s">
        <v>503</v>
      </c>
      <c r="G44" s="48" t="s">
        <v>117</v>
      </c>
      <c r="H44" s="5" t="s">
        <v>412</v>
      </c>
      <c r="I44" s="67" t="s">
        <v>24</v>
      </c>
      <c r="J44" s="21"/>
      <c r="K44" s="28"/>
      <c r="L44" s="20"/>
      <c r="M44" s="19"/>
    </row>
    <row r="45" spans="1:13" ht="33.6">
      <c r="A45" s="30" t="s">
        <v>506</v>
      </c>
      <c r="B45" s="72" t="s">
        <v>505</v>
      </c>
      <c r="C45" s="19"/>
      <c r="D45" s="19"/>
      <c r="E45" s="29" t="s">
        <v>504</v>
      </c>
      <c r="F45" s="29" t="s">
        <v>503</v>
      </c>
      <c r="G45" s="48" t="s">
        <v>117</v>
      </c>
      <c r="H45" s="5" t="s">
        <v>412</v>
      </c>
      <c r="I45" s="67" t="s">
        <v>24</v>
      </c>
      <c r="J45" s="21"/>
      <c r="K45" s="28"/>
      <c r="L45" s="20"/>
      <c r="M45" s="19"/>
    </row>
    <row r="46" spans="1:13" ht="33.6">
      <c r="A46" s="30" t="s">
        <v>502</v>
      </c>
      <c r="B46" s="25" t="s">
        <v>501</v>
      </c>
      <c r="C46" s="19"/>
      <c r="D46" s="19"/>
      <c r="E46" s="29" t="s">
        <v>496</v>
      </c>
      <c r="F46" s="29" t="s">
        <v>495</v>
      </c>
      <c r="G46" s="48" t="s">
        <v>117</v>
      </c>
      <c r="H46" s="5" t="s">
        <v>412</v>
      </c>
      <c r="I46" s="67" t="s">
        <v>24</v>
      </c>
      <c r="J46" s="21"/>
      <c r="K46" s="28"/>
      <c r="L46" s="20"/>
      <c r="M46" s="19"/>
    </row>
    <row r="47" spans="1:13" ht="33.6">
      <c r="A47" s="30" t="s">
        <v>500</v>
      </c>
      <c r="B47" s="25" t="s">
        <v>499</v>
      </c>
      <c r="C47" s="19"/>
      <c r="D47" s="19"/>
      <c r="E47" s="29" t="s">
        <v>496</v>
      </c>
      <c r="F47" s="29" t="s">
        <v>495</v>
      </c>
      <c r="G47" s="48" t="s">
        <v>117</v>
      </c>
      <c r="H47" s="5" t="s">
        <v>412</v>
      </c>
      <c r="I47" s="67" t="s">
        <v>24</v>
      </c>
      <c r="J47" s="21"/>
      <c r="K47" s="28"/>
      <c r="L47" s="20"/>
      <c r="M47" s="19"/>
    </row>
    <row r="48" spans="1:13" ht="33.6">
      <c r="A48" s="30" t="s">
        <v>498</v>
      </c>
      <c r="B48" s="25" t="s">
        <v>497</v>
      </c>
      <c r="C48" s="19"/>
      <c r="D48" s="19"/>
      <c r="E48" s="29" t="s">
        <v>496</v>
      </c>
      <c r="F48" s="29" t="s">
        <v>495</v>
      </c>
      <c r="G48" s="48" t="s">
        <v>117</v>
      </c>
      <c r="H48" s="5" t="s">
        <v>412</v>
      </c>
      <c r="I48" s="67" t="s">
        <v>24</v>
      </c>
      <c r="J48" s="21"/>
      <c r="K48" s="28"/>
      <c r="L48" s="20"/>
      <c r="M48" s="19"/>
    </row>
    <row r="49" spans="1:13" ht="50.4">
      <c r="A49" s="30" t="s">
        <v>494</v>
      </c>
      <c r="B49" s="25" t="s">
        <v>493</v>
      </c>
      <c r="C49" s="19"/>
      <c r="D49" s="19"/>
      <c r="E49" s="29" t="s">
        <v>468</v>
      </c>
      <c r="F49" s="29" t="s">
        <v>484</v>
      </c>
      <c r="G49" s="48" t="s">
        <v>117</v>
      </c>
      <c r="H49" s="5" t="s">
        <v>412</v>
      </c>
      <c r="I49" s="67" t="s">
        <v>24</v>
      </c>
      <c r="J49" s="21"/>
      <c r="K49" s="28"/>
      <c r="L49" s="20"/>
      <c r="M49" s="19"/>
    </row>
    <row r="50" spans="1:13" ht="33.6">
      <c r="A50" s="30" t="s">
        <v>492</v>
      </c>
      <c r="B50" s="25" t="s">
        <v>491</v>
      </c>
      <c r="C50" s="19"/>
      <c r="D50" s="19"/>
      <c r="E50" s="29" t="s">
        <v>478</v>
      </c>
      <c r="F50" s="29" t="s">
        <v>490</v>
      </c>
      <c r="G50" s="48" t="s">
        <v>117</v>
      </c>
      <c r="H50" s="5" t="s">
        <v>412</v>
      </c>
      <c r="I50" s="67" t="s">
        <v>24</v>
      </c>
      <c r="J50" s="21"/>
      <c r="K50" s="28"/>
      <c r="L50" s="20"/>
      <c r="M50" s="19"/>
    </row>
    <row r="51" spans="1:13" ht="33.6">
      <c r="A51" s="30" t="s">
        <v>489</v>
      </c>
      <c r="B51" s="25" t="s">
        <v>488</v>
      </c>
      <c r="C51" s="19"/>
      <c r="D51" s="19"/>
      <c r="E51" s="29" t="s">
        <v>474</v>
      </c>
      <c r="F51" s="29" t="s">
        <v>487</v>
      </c>
      <c r="G51" s="48" t="s">
        <v>117</v>
      </c>
      <c r="H51" s="5" t="s">
        <v>412</v>
      </c>
      <c r="I51" s="67" t="s">
        <v>24</v>
      </c>
      <c r="J51" s="21"/>
      <c r="K51" s="28"/>
      <c r="L51" s="20"/>
      <c r="M51" s="19"/>
    </row>
    <row r="52" spans="1:13" ht="50.4">
      <c r="A52" s="30" t="s">
        <v>486</v>
      </c>
      <c r="B52" s="25" t="s">
        <v>485</v>
      </c>
      <c r="C52" s="19"/>
      <c r="D52" s="19"/>
      <c r="E52" s="29" t="s">
        <v>468</v>
      </c>
      <c r="F52" s="29" t="s">
        <v>484</v>
      </c>
      <c r="G52" s="48" t="s">
        <v>117</v>
      </c>
      <c r="H52" s="5" t="s">
        <v>412</v>
      </c>
      <c r="I52" s="67" t="s">
        <v>24</v>
      </c>
      <c r="J52" s="21"/>
      <c r="K52" s="28"/>
      <c r="L52" s="20"/>
      <c r="M52" s="19"/>
    </row>
    <row r="53" spans="1:13" ht="33.6">
      <c r="A53" s="30" t="s">
        <v>483</v>
      </c>
      <c r="B53" s="25" t="s">
        <v>482</v>
      </c>
      <c r="C53" s="19"/>
      <c r="D53" s="19"/>
      <c r="E53" s="29" t="s">
        <v>481</v>
      </c>
      <c r="F53" s="29" t="s">
        <v>480</v>
      </c>
      <c r="G53" s="48" t="s">
        <v>117</v>
      </c>
      <c r="H53" s="5" t="s">
        <v>412</v>
      </c>
      <c r="I53" s="67" t="s">
        <v>24</v>
      </c>
      <c r="J53" s="21"/>
      <c r="K53" s="28"/>
      <c r="L53" s="20"/>
      <c r="M53" s="19"/>
    </row>
    <row r="54" spans="1:13" ht="33.6">
      <c r="A54" s="30" t="s">
        <v>601</v>
      </c>
      <c r="B54" s="25" t="s">
        <v>479</v>
      </c>
      <c r="C54" s="19"/>
      <c r="D54" s="19"/>
      <c r="E54" s="29" t="s">
        <v>478</v>
      </c>
      <c r="F54" s="29" t="s">
        <v>477</v>
      </c>
      <c r="G54" s="48" t="s">
        <v>117</v>
      </c>
      <c r="H54" s="5" t="s">
        <v>412</v>
      </c>
      <c r="I54" s="67" t="s">
        <v>24</v>
      </c>
      <c r="J54" s="21"/>
      <c r="K54" s="28"/>
      <c r="L54" s="20"/>
      <c r="M54" s="19"/>
    </row>
    <row r="55" spans="1:13" ht="33.6">
      <c r="A55" s="30" t="s">
        <v>476</v>
      </c>
      <c r="B55" s="25" t="s">
        <v>475</v>
      </c>
      <c r="C55" s="19"/>
      <c r="D55" s="19"/>
      <c r="E55" s="29" t="s">
        <v>474</v>
      </c>
      <c r="F55" s="29" t="s">
        <v>473</v>
      </c>
      <c r="G55" s="48" t="s">
        <v>117</v>
      </c>
      <c r="H55" s="5" t="s">
        <v>412</v>
      </c>
      <c r="I55" s="67" t="s">
        <v>24</v>
      </c>
      <c r="J55" s="21"/>
      <c r="K55" s="28"/>
      <c r="L55" s="20"/>
      <c r="M55" s="19"/>
    </row>
    <row r="56" spans="1:13" ht="50.4">
      <c r="A56" s="30" t="s">
        <v>472</v>
      </c>
      <c r="B56" s="25" t="s">
        <v>471</v>
      </c>
      <c r="C56" s="19"/>
      <c r="D56" s="19"/>
      <c r="E56" s="29" t="s">
        <v>468</v>
      </c>
      <c r="F56" s="29" t="s">
        <v>467</v>
      </c>
      <c r="G56" s="48" t="s">
        <v>117</v>
      </c>
      <c r="H56" s="5" t="s">
        <v>412</v>
      </c>
      <c r="I56" s="67" t="s">
        <v>24</v>
      </c>
      <c r="J56" s="21"/>
      <c r="K56" s="28"/>
      <c r="L56" s="20"/>
      <c r="M56" s="19"/>
    </row>
    <row r="57" spans="1:13" ht="50.4">
      <c r="A57" s="30" t="s">
        <v>470</v>
      </c>
      <c r="B57" s="25" t="s">
        <v>469</v>
      </c>
      <c r="C57" s="19"/>
      <c r="D57" s="19"/>
      <c r="E57" s="29" t="s">
        <v>468</v>
      </c>
      <c r="F57" s="29" t="s">
        <v>467</v>
      </c>
      <c r="G57" s="48" t="s">
        <v>117</v>
      </c>
      <c r="H57" s="5" t="s">
        <v>412</v>
      </c>
      <c r="I57" s="67" t="s">
        <v>24</v>
      </c>
      <c r="J57" s="21"/>
      <c r="K57" s="28"/>
      <c r="L57" s="20"/>
      <c r="M57" s="19"/>
    </row>
    <row r="59" spans="1:13" ht="16.8">
      <c r="A59" s="104" t="s">
        <v>466</v>
      </c>
      <c r="B59" s="104"/>
      <c r="C59" s="104"/>
      <c r="D59" s="104"/>
      <c r="E59" s="104"/>
      <c r="F59" s="104"/>
      <c r="G59" s="104"/>
      <c r="H59" s="104"/>
      <c r="I59" s="104"/>
      <c r="J59" s="104"/>
      <c r="K59" s="104"/>
      <c r="L59" s="104"/>
      <c r="M59" s="104"/>
    </row>
    <row r="60" spans="1:13" ht="50.4">
      <c r="A60" s="25" t="s">
        <v>64</v>
      </c>
      <c r="B60" s="24" t="s">
        <v>465</v>
      </c>
      <c r="C60" s="24" t="s">
        <v>464</v>
      </c>
      <c r="D60" s="23" t="s">
        <v>418</v>
      </c>
      <c r="E60" s="22" t="s">
        <v>463</v>
      </c>
      <c r="F60" s="22" t="s">
        <v>463</v>
      </c>
      <c r="G60" s="48" t="s">
        <v>117</v>
      </c>
      <c r="H60" s="5" t="s">
        <v>412</v>
      </c>
      <c r="I60" s="67" t="s">
        <v>24</v>
      </c>
      <c r="J60" s="48" t="s">
        <v>117</v>
      </c>
      <c r="K60" s="5" t="s">
        <v>411</v>
      </c>
      <c r="L60" s="67" t="s">
        <v>24</v>
      </c>
      <c r="M60" s="19"/>
    </row>
    <row r="61" spans="1:13" ht="100.8">
      <c r="A61" s="25" t="s">
        <v>61</v>
      </c>
      <c r="B61" s="25" t="s">
        <v>462</v>
      </c>
      <c r="C61" s="24" t="s">
        <v>461</v>
      </c>
      <c r="D61" s="23" t="s">
        <v>418</v>
      </c>
      <c r="E61" s="22" t="s">
        <v>460</v>
      </c>
      <c r="F61" s="22" t="s">
        <v>460</v>
      </c>
      <c r="G61" s="48" t="s">
        <v>117</v>
      </c>
      <c r="H61" s="5" t="s">
        <v>412</v>
      </c>
      <c r="I61" s="67" t="s">
        <v>24</v>
      </c>
      <c r="J61" s="48" t="s">
        <v>117</v>
      </c>
      <c r="K61" s="5" t="s">
        <v>411</v>
      </c>
      <c r="L61" s="67" t="s">
        <v>24</v>
      </c>
      <c r="M61" s="19"/>
    </row>
    <row r="62" spans="1:13" ht="67.2">
      <c r="A62" s="25" t="s">
        <v>57</v>
      </c>
      <c r="B62" s="25" t="s">
        <v>459</v>
      </c>
      <c r="C62" s="24" t="s">
        <v>458</v>
      </c>
      <c r="D62" s="23" t="s">
        <v>418</v>
      </c>
      <c r="E62" s="22" t="s">
        <v>437</v>
      </c>
      <c r="F62" s="22" t="s">
        <v>437</v>
      </c>
      <c r="G62" s="48" t="s">
        <v>117</v>
      </c>
      <c r="H62" s="5" t="s">
        <v>412</v>
      </c>
      <c r="I62" s="67" t="s">
        <v>24</v>
      </c>
      <c r="J62" s="48" t="s">
        <v>117</v>
      </c>
      <c r="K62" s="5" t="s">
        <v>411</v>
      </c>
      <c r="L62" s="67" t="s">
        <v>24</v>
      </c>
      <c r="M62" s="19"/>
    </row>
    <row r="63" spans="1:13" ht="67.2">
      <c r="A63" s="25" t="s">
        <v>53</v>
      </c>
      <c r="B63" s="24" t="s">
        <v>457</v>
      </c>
      <c r="C63" s="24" t="s">
        <v>456</v>
      </c>
      <c r="D63" s="23" t="s">
        <v>418</v>
      </c>
      <c r="E63" s="22" t="s">
        <v>437</v>
      </c>
      <c r="F63" s="22" t="s">
        <v>437</v>
      </c>
      <c r="G63" s="48" t="s">
        <v>117</v>
      </c>
      <c r="H63" s="5" t="s">
        <v>412</v>
      </c>
      <c r="I63" s="67" t="s">
        <v>24</v>
      </c>
      <c r="J63" s="48" t="s">
        <v>117</v>
      </c>
      <c r="K63" s="5" t="s">
        <v>411</v>
      </c>
      <c r="L63" s="67" t="s">
        <v>24</v>
      </c>
      <c r="M63" s="19"/>
    </row>
    <row r="64" spans="1:13" ht="67.2">
      <c r="A64" s="25" t="s">
        <v>49</v>
      </c>
      <c r="B64" s="24" t="s">
        <v>455</v>
      </c>
      <c r="C64" s="24" t="s">
        <v>454</v>
      </c>
      <c r="D64" s="23" t="s">
        <v>418</v>
      </c>
      <c r="E64" s="22" t="s">
        <v>437</v>
      </c>
      <c r="F64" s="22" t="s">
        <v>437</v>
      </c>
      <c r="G64" s="48" t="s">
        <v>117</v>
      </c>
      <c r="H64" s="5" t="s">
        <v>412</v>
      </c>
      <c r="I64" s="67" t="s">
        <v>24</v>
      </c>
      <c r="J64" s="48" t="s">
        <v>117</v>
      </c>
      <c r="K64" s="5" t="s">
        <v>411</v>
      </c>
      <c r="L64" s="67" t="s">
        <v>24</v>
      </c>
      <c r="M64" s="19"/>
    </row>
    <row r="65" spans="1:13" ht="117.6">
      <c r="A65" s="25" t="s">
        <v>45</v>
      </c>
      <c r="B65" s="25" t="s">
        <v>453</v>
      </c>
      <c r="C65" s="24" t="s">
        <v>452</v>
      </c>
      <c r="D65" s="23" t="s">
        <v>418</v>
      </c>
      <c r="E65" s="22" t="s">
        <v>449</v>
      </c>
      <c r="F65" s="22" t="s">
        <v>449</v>
      </c>
      <c r="G65" s="48" t="s">
        <v>121</v>
      </c>
      <c r="H65" s="71" t="s">
        <v>412</v>
      </c>
      <c r="I65" s="67" t="s">
        <v>24</v>
      </c>
      <c r="J65" s="48" t="s">
        <v>117</v>
      </c>
      <c r="K65" s="5" t="s">
        <v>411</v>
      </c>
      <c r="L65" s="67" t="s">
        <v>24</v>
      </c>
      <c r="M65" s="19"/>
    </row>
    <row r="66" spans="1:13" ht="117.6">
      <c r="A66" s="25" t="s">
        <v>41</v>
      </c>
      <c r="B66" s="25" t="s">
        <v>451</v>
      </c>
      <c r="C66" s="24" t="s">
        <v>450</v>
      </c>
      <c r="D66" s="23" t="s">
        <v>38</v>
      </c>
      <c r="E66" s="22" t="s">
        <v>449</v>
      </c>
      <c r="F66" s="22" t="s">
        <v>449</v>
      </c>
      <c r="G66" s="48" t="s">
        <v>121</v>
      </c>
      <c r="H66" s="71" t="s">
        <v>412</v>
      </c>
      <c r="I66" s="67" t="s">
        <v>24</v>
      </c>
      <c r="J66" s="48" t="s">
        <v>117</v>
      </c>
      <c r="K66" s="5" t="s">
        <v>411</v>
      </c>
      <c r="L66" s="67" t="s">
        <v>24</v>
      </c>
      <c r="M66" s="19"/>
    </row>
    <row r="67" spans="1:13" ht="50.4">
      <c r="A67" s="25" t="s">
        <v>448</v>
      </c>
      <c r="B67" s="72" t="s">
        <v>447</v>
      </c>
      <c r="C67" s="24" t="s">
        <v>446</v>
      </c>
      <c r="D67" s="23" t="s">
        <v>418</v>
      </c>
      <c r="E67" s="1" t="s">
        <v>445</v>
      </c>
      <c r="F67" s="1" t="s">
        <v>445</v>
      </c>
      <c r="G67" s="48" t="s">
        <v>117</v>
      </c>
      <c r="H67" s="5" t="s">
        <v>412</v>
      </c>
      <c r="I67" s="67" t="s">
        <v>24</v>
      </c>
      <c r="J67" s="48" t="s">
        <v>117</v>
      </c>
      <c r="K67" s="5" t="s">
        <v>411</v>
      </c>
      <c r="L67" s="67" t="s">
        <v>24</v>
      </c>
      <c r="M67" s="19"/>
    </row>
    <row r="68" spans="1:13" ht="50.4">
      <c r="A68" s="25" t="s">
        <v>444</v>
      </c>
      <c r="B68" s="25" t="s">
        <v>443</v>
      </c>
      <c r="C68" s="24" t="s">
        <v>442</v>
      </c>
      <c r="D68" s="23" t="s">
        <v>418</v>
      </c>
      <c r="E68" s="22" t="s">
        <v>441</v>
      </c>
      <c r="F68" s="22" t="s">
        <v>441</v>
      </c>
      <c r="G68" s="48" t="s">
        <v>117</v>
      </c>
      <c r="H68" s="5" t="s">
        <v>412</v>
      </c>
      <c r="I68" s="67" t="s">
        <v>24</v>
      </c>
      <c r="J68" s="48" t="s">
        <v>117</v>
      </c>
      <c r="K68" s="5" t="s">
        <v>411</v>
      </c>
      <c r="L68" s="67" t="s">
        <v>24</v>
      </c>
      <c r="M68" s="19"/>
    </row>
    <row r="69" spans="1:13" ht="84">
      <c r="A69" s="25" t="s">
        <v>440</v>
      </c>
      <c r="B69" s="25" t="s">
        <v>439</v>
      </c>
      <c r="C69" s="24" t="s">
        <v>438</v>
      </c>
      <c r="D69" s="23" t="s">
        <v>418</v>
      </c>
      <c r="E69" s="22" t="s">
        <v>437</v>
      </c>
      <c r="F69" s="22" t="s">
        <v>437</v>
      </c>
      <c r="G69" s="48" t="s">
        <v>117</v>
      </c>
      <c r="H69" s="5" t="s">
        <v>412</v>
      </c>
      <c r="I69" s="67" t="s">
        <v>24</v>
      </c>
      <c r="J69" s="48" t="s">
        <v>117</v>
      </c>
      <c r="K69" s="5" t="s">
        <v>411</v>
      </c>
      <c r="L69" s="67" t="s">
        <v>24</v>
      </c>
      <c r="M69" s="19"/>
    </row>
    <row r="70" spans="1:13" ht="100.8">
      <c r="A70" s="25" t="s">
        <v>436</v>
      </c>
      <c r="B70" s="25" t="s">
        <v>435</v>
      </c>
      <c r="C70" s="24" t="s">
        <v>434</v>
      </c>
      <c r="D70" s="23" t="s">
        <v>418</v>
      </c>
      <c r="E70" s="22" t="s">
        <v>433</v>
      </c>
      <c r="F70" s="22" t="s">
        <v>433</v>
      </c>
      <c r="G70" s="48" t="s">
        <v>117</v>
      </c>
      <c r="H70" s="5" t="s">
        <v>412</v>
      </c>
      <c r="I70" s="67" t="s">
        <v>24</v>
      </c>
      <c r="J70" s="48" t="s">
        <v>117</v>
      </c>
      <c r="K70" s="5" t="s">
        <v>411</v>
      </c>
      <c r="L70" s="67" t="s">
        <v>24</v>
      </c>
      <c r="M70" s="19"/>
    </row>
    <row r="71" spans="1:13" ht="100.8">
      <c r="A71" s="25" t="s">
        <v>432</v>
      </c>
      <c r="B71" s="72" t="s">
        <v>431</v>
      </c>
      <c r="C71" s="24" t="s">
        <v>430</v>
      </c>
      <c r="D71" s="23" t="s">
        <v>418</v>
      </c>
      <c r="E71" s="1" t="s">
        <v>422</v>
      </c>
      <c r="F71" s="1" t="s">
        <v>422</v>
      </c>
      <c r="G71" s="48" t="s">
        <v>121</v>
      </c>
      <c r="H71" s="71" t="s">
        <v>412</v>
      </c>
      <c r="I71" s="67" t="s">
        <v>24</v>
      </c>
      <c r="J71" s="48" t="s">
        <v>117</v>
      </c>
      <c r="K71" s="5" t="s">
        <v>411</v>
      </c>
      <c r="L71" s="67" t="s">
        <v>24</v>
      </c>
      <c r="M71" s="19"/>
    </row>
    <row r="72" spans="1:13" ht="201.6">
      <c r="A72" s="25" t="s">
        <v>429</v>
      </c>
      <c r="B72" s="25" t="s">
        <v>428</v>
      </c>
      <c r="C72" s="24" t="s">
        <v>427</v>
      </c>
      <c r="D72" s="23" t="s">
        <v>418</v>
      </c>
      <c r="E72" s="22" t="s">
        <v>426</v>
      </c>
      <c r="F72" s="22" t="s">
        <v>426</v>
      </c>
      <c r="G72" s="48" t="s">
        <v>117</v>
      </c>
      <c r="H72" s="5" t="s">
        <v>412</v>
      </c>
      <c r="I72" s="67" t="s">
        <v>24</v>
      </c>
      <c r="J72" s="48" t="s">
        <v>117</v>
      </c>
      <c r="K72" s="5" t="s">
        <v>411</v>
      </c>
      <c r="L72" s="67" t="s">
        <v>24</v>
      </c>
      <c r="M72" s="19"/>
    </row>
    <row r="73" spans="1:13" ht="168">
      <c r="A73" s="25" t="s">
        <v>425</v>
      </c>
      <c r="B73" s="25" t="s">
        <v>424</v>
      </c>
      <c r="C73" s="24" t="s">
        <v>423</v>
      </c>
      <c r="D73" s="23" t="s">
        <v>418</v>
      </c>
      <c r="E73" s="1" t="s">
        <v>422</v>
      </c>
      <c r="F73" s="1" t="s">
        <v>422</v>
      </c>
      <c r="G73" s="48" t="s">
        <v>117</v>
      </c>
      <c r="H73" s="5" t="s">
        <v>412</v>
      </c>
      <c r="I73" s="67" t="s">
        <v>24</v>
      </c>
      <c r="J73" s="48" t="s">
        <v>117</v>
      </c>
      <c r="K73" s="5" t="s">
        <v>411</v>
      </c>
      <c r="L73" s="67" t="s">
        <v>24</v>
      </c>
      <c r="M73" s="19"/>
    </row>
    <row r="74" spans="1:13" ht="168">
      <c r="A74" s="25" t="s">
        <v>421</v>
      </c>
      <c r="B74" s="25" t="s">
        <v>420</v>
      </c>
      <c r="C74" s="24" t="s">
        <v>419</v>
      </c>
      <c r="D74" s="23" t="s">
        <v>418</v>
      </c>
      <c r="E74" s="22" t="s">
        <v>417</v>
      </c>
      <c r="F74" s="22" t="s">
        <v>417</v>
      </c>
      <c r="G74" s="48" t="s">
        <v>121</v>
      </c>
      <c r="H74" s="71" t="s">
        <v>412</v>
      </c>
      <c r="I74" s="67" t="s">
        <v>24</v>
      </c>
      <c r="J74" s="48" t="s">
        <v>117</v>
      </c>
      <c r="K74" s="5" t="s">
        <v>411</v>
      </c>
      <c r="L74" s="67" t="s">
        <v>24</v>
      </c>
      <c r="M74" s="19"/>
    </row>
    <row r="75" spans="1:13" ht="184.8">
      <c r="A75" s="25" t="s">
        <v>416</v>
      </c>
      <c r="B75" s="25" t="s">
        <v>415</v>
      </c>
      <c r="C75" s="24" t="s">
        <v>414</v>
      </c>
      <c r="D75" s="23" t="s">
        <v>38</v>
      </c>
      <c r="E75" s="22" t="s">
        <v>413</v>
      </c>
      <c r="F75" s="22" t="s">
        <v>413</v>
      </c>
      <c r="G75" s="48" t="s">
        <v>117</v>
      </c>
      <c r="H75" s="5" t="s">
        <v>412</v>
      </c>
      <c r="I75" s="67" t="s">
        <v>24</v>
      </c>
      <c r="J75" s="48" t="s">
        <v>117</v>
      </c>
      <c r="K75" s="5" t="s">
        <v>411</v>
      </c>
      <c r="L75" s="67" t="s">
        <v>24</v>
      </c>
      <c r="M75" s="19"/>
    </row>
  </sheetData>
  <mergeCells count="15">
    <mergeCell ref="A59:M59"/>
    <mergeCell ref="B1:F1"/>
    <mergeCell ref="B2:F2"/>
    <mergeCell ref="A36:M36"/>
    <mergeCell ref="A33:A35"/>
    <mergeCell ref="B33:B35"/>
    <mergeCell ref="C33:C35"/>
    <mergeCell ref="D33:D35"/>
    <mergeCell ref="E33:E35"/>
    <mergeCell ref="F33:F35"/>
    <mergeCell ref="G33:I33"/>
    <mergeCell ref="J33:L33"/>
    <mergeCell ref="M33:M35"/>
    <mergeCell ref="G34:I34"/>
    <mergeCell ref="J34:L34"/>
  </mergeCells>
  <conditionalFormatting sqref="G37">
    <cfRule type="containsText" dxfId="44" priority="33" operator="containsText" text="Pass">
      <formula>NOT(ISERROR(SEARCH("Pass",G37)))</formula>
    </cfRule>
    <cfRule type="containsText" dxfId="43" priority="34" operator="containsText" text="Fail">
      <formula>NOT(ISERROR(SEARCH("Fail",G37)))</formula>
    </cfRule>
    <cfRule type="containsText" dxfId="42" priority="35" operator="containsText" text="Pass">
      <formula>NOT(ISERROR(SEARCH("Pass",G37)))</formula>
    </cfRule>
    <cfRule type="colorScale" priority="36">
      <colorScale>
        <cfvo type="min"/>
        <cfvo type="percentile" val="50"/>
        <cfvo type="max"/>
        <color rgb="FFF8696B"/>
        <color rgb="FFFFEB84"/>
        <color rgb="FF63BE7B"/>
      </colorScale>
    </cfRule>
  </conditionalFormatting>
  <conditionalFormatting sqref="G38:G57">
    <cfRule type="containsText" dxfId="41" priority="29" operator="containsText" text="Pass">
      <formula>NOT(ISERROR(SEARCH("Pass",G38)))</formula>
    </cfRule>
    <cfRule type="containsText" dxfId="40" priority="30" operator="containsText" text="Fail">
      <formula>NOT(ISERROR(SEARCH("Fail",G38)))</formula>
    </cfRule>
    <cfRule type="containsText" dxfId="39" priority="31" operator="containsText" text="Pass">
      <formula>NOT(ISERROR(SEARCH("Pass",G38)))</formula>
    </cfRule>
    <cfRule type="colorScale" priority="32">
      <colorScale>
        <cfvo type="min"/>
        <cfvo type="percentile" val="50"/>
        <cfvo type="max"/>
        <color rgb="FFF8696B"/>
        <color rgb="FFFFEB84"/>
        <color rgb="FF63BE7B"/>
      </colorScale>
    </cfRule>
  </conditionalFormatting>
  <conditionalFormatting sqref="G60:G66">
    <cfRule type="containsText" dxfId="38" priority="25" operator="containsText" text="Pass">
      <formula>NOT(ISERROR(SEARCH("Pass",G60)))</formula>
    </cfRule>
    <cfRule type="containsText" dxfId="37" priority="26" operator="containsText" text="Fail">
      <formula>NOT(ISERROR(SEARCH("Fail",G60)))</formula>
    </cfRule>
    <cfRule type="containsText" dxfId="36" priority="27" operator="containsText" text="Pass">
      <formula>NOT(ISERROR(SEARCH("Pass",G60)))</formula>
    </cfRule>
    <cfRule type="colorScale" priority="28">
      <colorScale>
        <cfvo type="min"/>
        <cfvo type="percentile" val="50"/>
        <cfvo type="max"/>
        <color rgb="FFF8696B"/>
        <color rgb="FFFFEB84"/>
        <color rgb="FF63BE7B"/>
      </colorScale>
    </cfRule>
  </conditionalFormatting>
  <conditionalFormatting sqref="G67:G70">
    <cfRule type="containsText" dxfId="35" priority="21" operator="containsText" text="Pass">
      <formula>NOT(ISERROR(SEARCH("Pass",G67)))</formula>
    </cfRule>
    <cfRule type="containsText" dxfId="34" priority="22" operator="containsText" text="Fail">
      <formula>NOT(ISERROR(SEARCH("Fail",G67)))</formula>
    </cfRule>
    <cfRule type="containsText" dxfId="33" priority="23" operator="containsText" text="Pass">
      <formula>NOT(ISERROR(SEARCH("Pass",G67)))</formula>
    </cfRule>
    <cfRule type="colorScale" priority="24">
      <colorScale>
        <cfvo type="min"/>
        <cfvo type="percentile" val="50"/>
        <cfvo type="max"/>
        <color rgb="FFF8696B"/>
        <color rgb="FFFFEB84"/>
        <color rgb="FF63BE7B"/>
      </colorScale>
    </cfRule>
  </conditionalFormatting>
  <conditionalFormatting sqref="G72:G73">
    <cfRule type="containsText" dxfId="32" priority="17" operator="containsText" text="Pass">
      <formula>NOT(ISERROR(SEARCH("Pass",G72)))</formula>
    </cfRule>
    <cfRule type="containsText" dxfId="31" priority="18" operator="containsText" text="Fail">
      <formula>NOT(ISERROR(SEARCH("Fail",G72)))</formula>
    </cfRule>
    <cfRule type="containsText" dxfId="30" priority="19" operator="containsText" text="Pass">
      <formula>NOT(ISERROR(SEARCH("Pass",G72)))</formula>
    </cfRule>
    <cfRule type="colorScale" priority="20">
      <colorScale>
        <cfvo type="min"/>
        <cfvo type="percentile" val="50"/>
        <cfvo type="max"/>
        <color rgb="FFF8696B"/>
        <color rgb="FFFFEB84"/>
        <color rgb="FF63BE7B"/>
      </colorScale>
    </cfRule>
  </conditionalFormatting>
  <conditionalFormatting sqref="G75">
    <cfRule type="containsText" dxfId="29" priority="13" operator="containsText" text="Pass">
      <formula>NOT(ISERROR(SEARCH("Pass",G75)))</formula>
    </cfRule>
    <cfRule type="containsText" dxfId="28" priority="14" operator="containsText" text="Fail">
      <formula>NOT(ISERROR(SEARCH("Fail",G75)))</formula>
    </cfRule>
    <cfRule type="containsText" dxfId="27" priority="15" operator="containsText" text="Pass">
      <formula>NOT(ISERROR(SEARCH("Pass",G75)))</formula>
    </cfRule>
    <cfRule type="colorScale" priority="16">
      <colorScale>
        <cfvo type="min"/>
        <cfvo type="percentile" val="50"/>
        <cfvo type="max"/>
        <color rgb="FFF8696B"/>
        <color rgb="FFFFEB84"/>
        <color rgb="FF63BE7B"/>
      </colorScale>
    </cfRule>
  </conditionalFormatting>
  <conditionalFormatting sqref="J60:J75">
    <cfRule type="containsText" dxfId="26" priority="9" operator="containsText" text="Pass">
      <formula>NOT(ISERROR(SEARCH("Pass",J60)))</formula>
    </cfRule>
    <cfRule type="containsText" dxfId="25" priority="10" operator="containsText" text="Fail">
      <formula>NOT(ISERROR(SEARCH("Fail",J60)))</formula>
    </cfRule>
    <cfRule type="containsText" dxfId="24" priority="11" operator="containsText" text="Pass">
      <formula>NOT(ISERROR(SEARCH("Pass",J60)))</formula>
    </cfRule>
    <cfRule type="colorScale" priority="12">
      <colorScale>
        <cfvo type="min"/>
        <cfvo type="percentile" val="50"/>
        <cfvo type="max"/>
        <color rgb="FFF8696B"/>
        <color rgb="FFFFEB84"/>
        <color rgb="FF63BE7B"/>
      </colorScale>
    </cfRule>
  </conditionalFormatting>
  <conditionalFormatting sqref="G71">
    <cfRule type="containsText" dxfId="23" priority="5" operator="containsText" text="Pass">
      <formula>NOT(ISERROR(SEARCH("Pass",G71)))</formula>
    </cfRule>
    <cfRule type="containsText" dxfId="22" priority="6" operator="containsText" text="Fail">
      <formula>NOT(ISERROR(SEARCH("Fail",G71)))</formula>
    </cfRule>
    <cfRule type="containsText" dxfId="21" priority="7" operator="containsText" text="Pass">
      <formula>NOT(ISERROR(SEARCH("Pass",G71)))</formula>
    </cfRule>
    <cfRule type="colorScale" priority="8">
      <colorScale>
        <cfvo type="min"/>
        <cfvo type="percentile" val="50"/>
        <cfvo type="max"/>
        <color rgb="FFF8696B"/>
        <color rgb="FFFFEB84"/>
        <color rgb="FF63BE7B"/>
      </colorScale>
    </cfRule>
  </conditionalFormatting>
  <conditionalFormatting sqref="G74">
    <cfRule type="containsText" dxfId="20" priority="1" operator="containsText" text="Pass">
      <formula>NOT(ISERROR(SEARCH("Pass",G74)))</formula>
    </cfRule>
    <cfRule type="containsText" dxfId="19" priority="2" operator="containsText" text="Fail">
      <formula>NOT(ISERROR(SEARCH("Fail",G74)))</formula>
    </cfRule>
    <cfRule type="containsText" dxfId="18" priority="3" operator="containsText" text="Pass">
      <formula>NOT(ISERROR(SEARCH("Pass",G74)))</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37:J57" xr:uid="{2797223F-2040-44C0-B48E-80366F4D35CB}">
      <formula1>"Passed,Untested,Failed,Blocked"</formula1>
      <formula2>0</formula2>
    </dataValidation>
    <dataValidation type="list" allowBlank="1" showErrorMessage="1" sqref="G37:G57 G60:G75 J60:J75" xr:uid="{031DEE25-938D-4128-A3A5-B3988486CB65}">
      <formula1>"Pass,Fail"</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6E4F-8A18-4E82-BBEC-84CCF2302B90}">
  <dimension ref="A1:M25"/>
  <sheetViews>
    <sheetView topLeftCell="A7" zoomScale="40" zoomScaleNormal="40" workbookViewId="0">
      <selection activeCell="L18" sqref="L18:L24"/>
    </sheetView>
  </sheetViews>
  <sheetFormatPr defaultColWidth="9.109375" defaultRowHeight="16.8"/>
  <cols>
    <col min="1" max="1" width="21.33203125" style="3" bestFit="1" customWidth="1"/>
    <col min="2" max="2" width="31.6640625" style="3" bestFit="1" customWidth="1"/>
    <col min="3" max="3" width="34.33203125" style="3" bestFit="1" customWidth="1"/>
    <col min="4" max="4" width="29" style="3" bestFit="1" customWidth="1"/>
    <col min="5" max="5" width="40" style="3" bestFit="1" customWidth="1"/>
    <col min="6" max="6" width="46" style="3" bestFit="1"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ht="16.05" customHeight="1">
      <c r="A1" s="43" t="s">
        <v>6</v>
      </c>
      <c r="B1" s="109" t="s">
        <v>84</v>
      </c>
      <c r="C1" s="109"/>
      <c r="D1" s="109"/>
      <c r="E1" s="109"/>
      <c r="F1" s="109"/>
      <c r="G1" s="16"/>
      <c r="H1" s="35"/>
      <c r="J1" s="16"/>
    </row>
    <row r="2" spans="1:13" s="26" customFormat="1">
      <c r="A2" s="43" t="s">
        <v>7</v>
      </c>
      <c r="B2" s="110" t="s">
        <v>83</v>
      </c>
      <c r="C2" s="110"/>
      <c r="D2" s="110"/>
      <c r="E2" s="110"/>
      <c r="F2" s="110"/>
      <c r="G2" s="16"/>
      <c r="H2" s="35"/>
      <c r="J2" s="16"/>
    </row>
    <row r="3" spans="1:13" s="26" customFormat="1" ht="16.5" customHeight="1">
      <c r="A3" s="40"/>
      <c r="B3" s="32" t="s">
        <v>8</v>
      </c>
      <c r="C3" s="32" t="s">
        <v>9</v>
      </c>
      <c r="D3" s="32" t="s">
        <v>10</v>
      </c>
      <c r="E3" s="32" t="s">
        <v>82</v>
      </c>
      <c r="F3" s="32" t="s">
        <v>81</v>
      </c>
      <c r="G3" s="16"/>
      <c r="H3" s="35"/>
      <c r="J3" s="16"/>
    </row>
    <row r="4" spans="1:13" s="26" customFormat="1">
      <c r="A4" s="41" t="s">
        <v>11</v>
      </c>
      <c r="B4" s="38">
        <v>13</v>
      </c>
      <c r="C4" s="38">
        <v>0</v>
      </c>
      <c r="D4" s="40">
        <f>COUNTIF(G11:G21,"Untested")</f>
        <v>0</v>
      </c>
      <c r="E4" s="39">
        <f>COUNTIF(G11:G21,"Blocked")</f>
        <v>0</v>
      </c>
      <c r="F4" s="38">
        <v>13</v>
      </c>
      <c r="G4" s="16"/>
      <c r="H4" s="35"/>
      <c r="J4" s="16"/>
    </row>
    <row r="5" spans="1:13" s="26" customFormat="1">
      <c r="A5" s="41" t="s">
        <v>12</v>
      </c>
      <c r="B5" s="38">
        <v>7</v>
      </c>
      <c r="C5" s="38">
        <v>0</v>
      </c>
      <c r="D5" s="40">
        <f>COUNTIF(J11:J21,"Untested")</f>
        <v>0</v>
      </c>
      <c r="E5" s="39">
        <f>COUNTIF(J11:J21,"Blocked")</f>
        <v>0</v>
      </c>
      <c r="F5" s="38">
        <v>7</v>
      </c>
      <c r="G5" s="16"/>
      <c r="H5" s="35"/>
      <c r="J5" s="16"/>
    </row>
    <row r="6" spans="1:13" s="26" customFormat="1" ht="409.5" customHeight="1">
      <c r="A6" s="37"/>
      <c r="B6" s="36"/>
      <c r="E6" s="17"/>
      <c r="G6" s="16"/>
      <c r="H6" s="35"/>
      <c r="J6" s="16"/>
    </row>
    <row r="7" spans="1:13" s="26" customFormat="1">
      <c r="A7" s="107" t="s">
        <v>13</v>
      </c>
      <c r="B7" s="107" t="s">
        <v>5</v>
      </c>
      <c r="C7" s="107" t="s">
        <v>80</v>
      </c>
      <c r="D7" s="107" t="s">
        <v>14</v>
      </c>
      <c r="E7" s="107" t="s">
        <v>15</v>
      </c>
      <c r="F7" s="107" t="s">
        <v>16</v>
      </c>
      <c r="G7" s="107" t="s">
        <v>17</v>
      </c>
      <c r="H7" s="107"/>
      <c r="I7" s="107"/>
      <c r="J7" s="107" t="s">
        <v>17</v>
      </c>
      <c r="K7" s="107"/>
      <c r="L7" s="107"/>
      <c r="M7" s="107" t="s">
        <v>18</v>
      </c>
    </row>
    <row r="8" spans="1:13" s="26" customFormat="1">
      <c r="A8" s="107"/>
      <c r="B8" s="107"/>
      <c r="C8" s="107"/>
      <c r="D8" s="107"/>
      <c r="E8" s="107"/>
      <c r="F8" s="107"/>
      <c r="G8" s="107" t="s">
        <v>19</v>
      </c>
      <c r="H8" s="107"/>
      <c r="I8" s="107"/>
      <c r="J8" s="107" t="s">
        <v>20</v>
      </c>
      <c r="K8" s="107"/>
      <c r="L8" s="107"/>
      <c r="M8" s="107"/>
    </row>
    <row r="9" spans="1:13" s="26" customFormat="1">
      <c r="A9" s="107"/>
      <c r="B9" s="107"/>
      <c r="C9" s="107"/>
      <c r="D9" s="107"/>
      <c r="E9" s="107"/>
      <c r="F9" s="107"/>
      <c r="G9" s="34" t="s">
        <v>21</v>
      </c>
      <c r="H9" s="33" t="s">
        <v>22</v>
      </c>
      <c r="I9" s="32" t="s">
        <v>23</v>
      </c>
      <c r="J9" s="34" t="s">
        <v>21</v>
      </c>
      <c r="K9" s="33" t="s">
        <v>22</v>
      </c>
      <c r="L9" s="32" t="s">
        <v>23</v>
      </c>
      <c r="M9" s="107"/>
    </row>
    <row r="10" spans="1:13" s="26" customFormat="1">
      <c r="A10" s="108" t="s">
        <v>79</v>
      </c>
      <c r="B10" s="108"/>
      <c r="C10" s="108"/>
      <c r="D10" s="108"/>
      <c r="E10" s="108"/>
      <c r="F10" s="108"/>
      <c r="G10" s="108"/>
      <c r="H10" s="108"/>
      <c r="I10" s="108"/>
      <c r="J10" s="108"/>
      <c r="K10" s="108"/>
      <c r="L10" s="108"/>
      <c r="M10" s="108"/>
    </row>
    <row r="11" spans="1:13" s="26" customFormat="1" ht="33.6">
      <c r="A11" s="30" t="s">
        <v>78</v>
      </c>
      <c r="B11" s="25" t="s">
        <v>77</v>
      </c>
      <c r="C11" s="19"/>
      <c r="D11" s="19"/>
      <c r="E11" s="29" t="s">
        <v>27</v>
      </c>
      <c r="F11" s="29" t="s">
        <v>27</v>
      </c>
      <c r="G11" s="48" t="s">
        <v>117</v>
      </c>
      <c r="H11" s="68">
        <v>46269</v>
      </c>
      <c r="I11" s="67" t="s">
        <v>32</v>
      </c>
      <c r="J11" s="21"/>
      <c r="K11" s="28"/>
      <c r="L11" s="20"/>
      <c r="M11" s="19"/>
    </row>
    <row r="12" spans="1:13" s="26" customFormat="1" ht="33.6">
      <c r="A12" s="30" t="s">
        <v>76</v>
      </c>
      <c r="B12" s="25" t="s">
        <v>75</v>
      </c>
      <c r="C12" s="19"/>
      <c r="D12" s="19"/>
      <c r="E12" s="29" t="s">
        <v>26</v>
      </c>
      <c r="F12" s="29" t="s">
        <v>26</v>
      </c>
      <c r="G12" s="48" t="s">
        <v>117</v>
      </c>
      <c r="H12" s="68">
        <v>46269</v>
      </c>
      <c r="I12" s="67" t="s">
        <v>32</v>
      </c>
      <c r="J12" s="21"/>
      <c r="K12" s="28"/>
      <c r="L12" s="20"/>
      <c r="M12" s="19"/>
    </row>
    <row r="13" spans="1:13" s="26" customFormat="1" ht="33.6">
      <c r="A13" s="30" t="s">
        <v>74</v>
      </c>
      <c r="B13" s="25" t="s">
        <v>73</v>
      </c>
      <c r="C13" s="19"/>
      <c r="D13" s="19"/>
      <c r="E13" s="29" t="s">
        <v>26</v>
      </c>
      <c r="F13" s="29" t="s">
        <v>26</v>
      </c>
      <c r="G13" s="48" t="s">
        <v>117</v>
      </c>
      <c r="H13" s="68">
        <v>46269</v>
      </c>
      <c r="I13" s="67" t="s">
        <v>32</v>
      </c>
      <c r="J13" s="21"/>
      <c r="K13" s="28"/>
      <c r="L13" s="20"/>
      <c r="M13" s="19"/>
    </row>
    <row r="14" spans="1:13" s="26" customFormat="1" ht="33.6">
      <c r="A14" s="30" t="s">
        <v>72</v>
      </c>
      <c r="B14" s="25" t="s">
        <v>71</v>
      </c>
      <c r="C14" s="19"/>
      <c r="D14" s="19"/>
      <c r="E14" s="29" t="s">
        <v>26</v>
      </c>
      <c r="F14" s="29" t="s">
        <v>66</v>
      </c>
      <c r="G14" s="48" t="s">
        <v>117</v>
      </c>
      <c r="H14" s="68">
        <v>46269</v>
      </c>
      <c r="I14" s="67" t="s">
        <v>32</v>
      </c>
      <c r="J14" s="21"/>
      <c r="K14" s="28"/>
      <c r="L14" s="20"/>
      <c r="M14" s="19"/>
    </row>
    <row r="15" spans="1:13" s="26" customFormat="1" ht="33.6">
      <c r="A15" s="30" t="s">
        <v>70</v>
      </c>
      <c r="B15" s="25" t="s">
        <v>69</v>
      </c>
      <c r="C15" s="19"/>
      <c r="D15" s="19"/>
      <c r="E15" s="29" t="s">
        <v>26</v>
      </c>
      <c r="F15" s="29" t="s">
        <v>26</v>
      </c>
      <c r="G15" s="48" t="s">
        <v>117</v>
      </c>
      <c r="H15" s="68">
        <v>46269</v>
      </c>
      <c r="I15" s="67" t="s">
        <v>32</v>
      </c>
      <c r="J15" s="21"/>
      <c r="K15" s="28"/>
      <c r="L15" s="20"/>
      <c r="M15" s="19"/>
    </row>
    <row r="16" spans="1:13" s="26" customFormat="1" ht="33.6">
      <c r="A16" s="30" t="s">
        <v>68</v>
      </c>
      <c r="B16" s="25" t="s">
        <v>67</v>
      </c>
      <c r="C16" s="19"/>
      <c r="D16" s="19"/>
      <c r="E16" s="29" t="s">
        <v>26</v>
      </c>
      <c r="F16" s="29" t="s">
        <v>66</v>
      </c>
      <c r="G16" s="48" t="s">
        <v>117</v>
      </c>
      <c r="H16" s="68">
        <v>46269</v>
      </c>
      <c r="I16" s="67" t="s">
        <v>32</v>
      </c>
      <c r="J16" s="21"/>
      <c r="K16" s="28"/>
      <c r="L16" s="20"/>
      <c r="M16" s="19"/>
    </row>
    <row r="17" spans="1:13" s="26" customFormat="1">
      <c r="A17" s="104" t="s">
        <v>65</v>
      </c>
      <c r="B17" s="104"/>
      <c r="C17" s="104"/>
      <c r="D17" s="104"/>
      <c r="E17" s="104"/>
      <c r="F17" s="104"/>
      <c r="G17" s="104"/>
      <c r="H17" s="104"/>
      <c r="I17" s="104"/>
      <c r="J17" s="104"/>
      <c r="K17" s="104"/>
      <c r="L17" s="104"/>
      <c r="M17" s="104"/>
    </row>
    <row r="18" spans="1:13" s="26" customFormat="1" ht="134.4">
      <c r="A18" s="25" t="s">
        <v>64</v>
      </c>
      <c r="B18" s="24" t="s">
        <v>63</v>
      </c>
      <c r="C18" s="24" t="s">
        <v>59</v>
      </c>
      <c r="D18" s="23" t="s">
        <v>38</v>
      </c>
      <c r="E18" s="1" t="s">
        <v>62</v>
      </c>
      <c r="F18" s="1" t="s">
        <v>62</v>
      </c>
      <c r="G18" s="48" t="s">
        <v>117</v>
      </c>
      <c r="H18" s="68">
        <v>46269</v>
      </c>
      <c r="I18" s="67" t="s">
        <v>32</v>
      </c>
      <c r="J18" s="48" t="s">
        <v>117</v>
      </c>
      <c r="K18" s="68" t="s">
        <v>411</v>
      </c>
      <c r="L18" s="67" t="s">
        <v>32</v>
      </c>
      <c r="M18" s="19"/>
    </row>
    <row r="19" spans="1:13" s="26" customFormat="1" ht="50.4">
      <c r="A19" s="25" t="s">
        <v>61</v>
      </c>
      <c r="B19" s="25" t="s">
        <v>60</v>
      </c>
      <c r="C19" s="24" t="s">
        <v>59</v>
      </c>
      <c r="D19" s="23" t="s">
        <v>38</v>
      </c>
      <c r="E19" s="22" t="s">
        <v>58</v>
      </c>
      <c r="F19" s="22" t="s">
        <v>58</v>
      </c>
      <c r="G19" s="48" t="s">
        <v>117</v>
      </c>
      <c r="H19" s="68">
        <v>46269</v>
      </c>
      <c r="I19" s="67" t="s">
        <v>32</v>
      </c>
      <c r="J19" s="48" t="s">
        <v>117</v>
      </c>
      <c r="K19" s="68" t="s">
        <v>411</v>
      </c>
      <c r="L19" s="67" t="s">
        <v>32</v>
      </c>
      <c r="M19" s="19"/>
    </row>
    <row r="20" spans="1:13" s="26" customFormat="1" ht="50.4">
      <c r="A20" s="25" t="s">
        <v>57</v>
      </c>
      <c r="B20" s="25" t="s">
        <v>56</v>
      </c>
      <c r="C20" s="24" t="s">
        <v>55</v>
      </c>
      <c r="D20" s="23" t="s">
        <v>38</v>
      </c>
      <c r="E20" s="22" t="s">
        <v>54</v>
      </c>
      <c r="F20" s="22" t="s">
        <v>54</v>
      </c>
      <c r="G20" s="48" t="s">
        <v>117</v>
      </c>
      <c r="H20" s="68">
        <v>46269</v>
      </c>
      <c r="I20" s="67" t="s">
        <v>32</v>
      </c>
      <c r="J20" s="48" t="s">
        <v>117</v>
      </c>
      <c r="K20" s="68" t="s">
        <v>411</v>
      </c>
      <c r="L20" s="67" t="s">
        <v>32</v>
      </c>
      <c r="M20" s="19"/>
    </row>
    <row r="21" spans="1:13" ht="50.4">
      <c r="A21" s="25" t="s">
        <v>53</v>
      </c>
      <c r="B21" s="25" t="s">
        <v>52</v>
      </c>
      <c r="C21" s="24" t="s">
        <v>51</v>
      </c>
      <c r="D21" s="23" t="s">
        <v>38</v>
      </c>
      <c r="E21" s="22" t="s">
        <v>50</v>
      </c>
      <c r="F21" s="22" t="s">
        <v>50</v>
      </c>
      <c r="G21" s="48" t="s">
        <v>117</v>
      </c>
      <c r="H21" s="68">
        <v>46269</v>
      </c>
      <c r="I21" s="67" t="s">
        <v>32</v>
      </c>
      <c r="J21" s="48" t="s">
        <v>117</v>
      </c>
      <c r="K21" s="68" t="s">
        <v>411</v>
      </c>
      <c r="L21" s="67" t="s">
        <v>32</v>
      </c>
      <c r="M21" s="19"/>
    </row>
    <row r="22" spans="1:13" ht="50.4">
      <c r="A22" s="25" t="s">
        <v>49</v>
      </c>
      <c r="B22" s="25" t="s">
        <v>48</v>
      </c>
      <c r="C22" s="24" t="s">
        <v>47</v>
      </c>
      <c r="D22" s="23" t="s">
        <v>38</v>
      </c>
      <c r="E22" s="22" t="s">
        <v>46</v>
      </c>
      <c r="F22" s="22" t="s">
        <v>46</v>
      </c>
      <c r="G22" s="48" t="s">
        <v>117</v>
      </c>
      <c r="H22" s="68">
        <v>46269</v>
      </c>
      <c r="I22" s="67" t="s">
        <v>32</v>
      </c>
      <c r="J22" s="48" t="s">
        <v>117</v>
      </c>
      <c r="K22" s="68" t="s">
        <v>411</v>
      </c>
      <c r="L22" s="67" t="s">
        <v>32</v>
      </c>
      <c r="M22" s="19"/>
    </row>
    <row r="23" spans="1:13" ht="50.4">
      <c r="A23" s="25" t="s">
        <v>45</v>
      </c>
      <c r="B23" s="24" t="s">
        <v>44</v>
      </c>
      <c r="C23" s="24" t="s">
        <v>43</v>
      </c>
      <c r="D23" s="23" t="s">
        <v>38</v>
      </c>
      <c r="E23" s="22" t="s">
        <v>42</v>
      </c>
      <c r="F23" s="22" t="s">
        <v>42</v>
      </c>
      <c r="G23" s="48" t="s">
        <v>117</v>
      </c>
      <c r="H23" s="68">
        <v>46269</v>
      </c>
      <c r="I23" s="67" t="s">
        <v>32</v>
      </c>
      <c r="J23" s="48" t="s">
        <v>117</v>
      </c>
      <c r="K23" s="68" t="s">
        <v>411</v>
      </c>
      <c r="L23" s="67" t="s">
        <v>32</v>
      </c>
      <c r="M23" s="19"/>
    </row>
    <row r="24" spans="1:13" ht="50.4">
      <c r="A24" s="25" t="s">
        <v>41</v>
      </c>
      <c r="B24" s="24" t="s">
        <v>40</v>
      </c>
      <c r="C24" s="24" t="s">
        <v>39</v>
      </c>
      <c r="D24" s="23" t="s">
        <v>38</v>
      </c>
      <c r="E24" s="22" t="s">
        <v>37</v>
      </c>
      <c r="F24" s="22" t="s">
        <v>37</v>
      </c>
      <c r="G24" s="48" t="s">
        <v>117</v>
      </c>
      <c r="H24" s="68">
        <v>46269</v>
      </c>
      <c r="I24" s="67" t="s">
        <v>32</v>
      </c>
      <c r="J24" s="48" t="s">
        <v>117</v>
      </c>
      <c r="K24" s="68" t="s">
        <v>411</v>
      </c>
      <c r="L24" s="67" t="s">
        <v>32</v>
      </c>
      <c r="M24" s="19"/>
    </row>
    <row r="25" spans="1:13">
      <c r="A25" s="18"/>
      <c r="B25" s="18"/>
      <c r="C25" s="18"/>
      <c r="D25" s="13"/>
      <c r="E25" s="17"/>
      <c r="F25" s="17"/>
      <c r="G25" s="16"/>
      <c r="H25" s="15"/>
      <c r="I25" s="67"/>
      <c r="J25" s="16"/>
      <c r="K25" s="15"/>
      <c r="L25" s="14"/>
      <c r="M25" s="13"/>
    </row>
  </sheetData>
  <mergeCells count="15">
    <mergeCell ref="A17:M17"/>
    <mergeCell ref="G7:I7"/>
    <mergeCell ref="J7:L7"/>
    <mergeCell ref="M7:M9"/>
    <mergeCell ref="G8:I8"/>
    <mergeCell ref="J8:L8"/>
    <mergeCell ref="A10:M10"/>
    <mergeCell ref="B1:F1"/>
    <mergeCell ref="B2:F2"/>
    <mergeCell ref="A7:A9"/>
    <mergeCell ref="B7:B9"/>
    <mergeCell ref="C7:C9"/>
    <mergeCell ref="D7:D9"/>
    <mergeCell ref="E7:E9"/>
    <mergeCell ref="F7:F9"/>
  </mergeCells>
  <conditionalFormatting sqref="G11:G16">
    <cfRule type="containsText" dxfId="17" priority="5" operator="containsText" text="Pass">
      <formula>NOT(ISERROR(SEARCH("Pass",G11)))</formula>
    </cfRule>
    <cfRule type="containsText" dxfId="16" priority="6" operator="containsText" text="Fail">
      <formula>NOT(ISERROR(SEARCH("Fail",G11)))</formula>
    </cfRule>
    <cfRule type="containsText" dxfId="15" priority="7" operator="containsText" text="Pass">
      <formula>NOT(ISERROR(SEARCH("Pass",G11)))</formula>
    </cfRule>
    <cfRule type="colorScale" priority="8">
      <colorScale>
        <cfvo type="min"/>
        <cfvo type="percentile" val="50"/>
        <cfvo type="max"/>
        <color rgb="FFF8696B"/>
        <color rgb="FFFFEB84"/>
        <color rgb="FF63BE7B"/>
      </colorScale>
    </cfRule>
  </conditionalFormatting>
  <conditionalFormatting sqref="G18:G24">
    <cfRule type="containsText" dxfId="14" priority="13" operator="containsText" text="Pass">
      <formula>NOT(ISERROR(SEARCH("Pass",G18)))</formula>
    </cfRule>
    <cfRule type="containsText" dxfId="13" priority="14" operator="containsText" text="Fail">
      <formula>NOT(ISERROR(SEARCH("Fail",G18)))</formula>
    </cfRule>
    <cfRule type="containsText" dxfId="12" priority="15" operator="containsText" text="Pass">
      <formula>NOT(ISERROR(SEARCH("Pass",G18)))</formula>
    </cfRule>
    <cfRule type="colorScale" priority="16">
      <colorScale>
        <cfvo type="min"/>
        <cfvo type="percentile" val="50"/>
        <cfvo type="max"/>
        <color rgb="FFF8696B"/>
        <color rgb="FFFFEB84"/>
        <color rgb="FF63BE7B"/>
      </colorScale>
    </cfRule>
  </conditionalFormatting>
  <conditionalFormatting sqref="J18:J24">
    <cfRule type="colorScale" priority="4">
      <colorScale>
        <cfvo type="min"/>
        <cfvo type="percentile" val="50"/>
        <cfvo type="max"/>
        <color rgb="FFF8696B"/>
        <color rgb="FFFFEB84"/>
        <color rgb="FF63BE7B"/>
      </colorScale>
    </cfRule>
  </conditionalFormatting>
  <conditionalFormatting sqref="J18:J24">
    <cfRule type="containsText" dxfId="11" priority="1" operator="containsText" text="Pass">
      <formula>NOT(ISERROR(SEARCH("Pass",J18)))</formula>
    </cfRule>
    <cfRule type="containsText" dxfId="10" priority="2" operator="containsText" text="Fail">
      <formula>NOT(ISERROR(SEARCH("Fail",J18)))</formula>
    </cfRule>
    <cfRule type="containsText" dxfId="9" priority="3" operator="containsText" text="Pass">
      <formula>NOT(ISERROR(SEARCH("Pass",J18)))</formula>
    </cfRule>
  </conditionalFormatting>
  <dataValidations count="2">
    <dataValidation type="list" operator="equal" allowBlank="1" showErrorMessage="1" promptTitle="dfdf" sqref="J25 J11:J16 G25" xr:uid="{00000000-0002-0000-0300-000000000000}">
      <formula1>"Passed,Untested,Failed,Blocked"</formula1>
      <formula2>0</formula2>
    </dataValidation>
    <dataValidation type="list" allowBlank="1" showErrorMessage="1" sqref="G18:G24 G11:G16 J18:J24" xr:uid="{C1212345-AAFC-46FB-9F53-D283BA54C3D1}">
      <formula1>"Pass,Fail"</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26D0-26E9-40AA-91EF-CBE268F8569C}">
  <dimension ref="A1:M21"/>
  <sheetViews>
    <sheetView topLeftCell="A7" zoomScale="40" zoomScaleNormal="40" workbookViewId="0">
      <selection activeCell="L16" sqref="L16:L20"/>
    </sheetView>
  </sheetViews>
  <sheetFormatPr defaultColWidth="9.109375" defaultRowHeight="16.8"/>
  <cols>
    <col min="1" max="1" width="21.33203125" style="3" bestFit="1" customWidth="1"/>
    <col min="2" max="2" width="31.6640625" style="3" bestFit="1" customWidth="1"/>
    <col min="3" max="3" width="34.33203125" style="3" bestFit="1" customWidth="1"/>
    <col min="4" max="4" width="29" style="3" bestFit="1" customWidth="1"/>
    <col min="5" max="5" width="40" style="3" bestFit="1" customWidth="1"/>
    <col min="6" max="6" width="46" style="3" bestFit="1"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ht="16.05" customHeight="1">
      <c r="A1" s="43" t="s">
        <v>6</v>
      </c>
      <c r="B1" s="109" t="s">
        <v>84</v>
      </c>
      <c r="C1" s="109"/>
      <c r="D1" s="109"/>
      <c r="E1" s="109"/>
      <c r="F1" s="109"/>
      <c r="G1" s="16"/>
      <c r="H1" s="35"/>
      <c r="J1" s="16"/>
    </row>
    <row r="2" spans="1:13" s="26" customFormat="1">
      <c r="A2" s="43" t="s">
        <v>7</v>
      </c>
      <c r="B2" s="110" t="s">
        <v>116</v>
      </c>
      <c r="C2" s="110"/>
      <c r="D2" s="110"/>
      <c r="E2" s="110"/>
      <c r="F2" s="110"/>
      <c r="G2" s="16"/>
      <c r="H2" s="35"/>
      <c r="J2" s="16"/>
    </row>
    <row r="3" spans="1:13" s="26" customFormat="1" ht="16.5" customHeight="1">
      <c r="A3" s="40"/>
      <c r="B3" s="32" t="s">
        <v>8</v>
      </c>
      <c r="C3" s="32" t="s">
        <v>9</v>
      </c>
      <c r="D3" s="32" t="s">
        <v>10</v>
      </c>
      <c r="E3" s="32" t="s">
        <v>82</v>
      </c>
      <c r="F3" s="32" t="s">
        <v>81</v>
      </c>
      <c r="G3" s="16"/>
      <c r="H3" s="35"/>
      <c r="J3" s="16"/>
    </row>
    <row r="4" spans="1:13" s="26" customFormat="1">
      <c r="A4" s="41" t="s">
        <v>11</v>
      </c>
      <c r="B4" s="38">
        <v>9</v>
      </c>
      <c r="C4" s="38">
        <v>2</v>
      </c>
      <c r="D4" s="40">
        <f>COUNTIF(G11:G19,"Untested")</f>
        <v>0</v>
      </c>
      <c r="E4" s="39">
        <f>COUNTIF(G11:G19,"Blocked")</f>
        <v>0</v>
      </c>
      <c r="F4" s="38">
        <v>9</v>
      </c>
      <c r="G4" s="16"/>
      <c r="H4" s="35"/>
      <c r="J4" s="16"/>
    </row>
    <row r="5" spans="1:13" s="26" customFormat="1">
      <c r="A5" s="41" t="s">
        <v>12</v>
      </c>
      <c r="B5" s="38">
        <v>5</v>
      </c>
      <c r="C5" s="38">
        <v>0</v>
      </c>
      <c r="D5" s="40">
        <f>COUNTIF(J11:J19,"Untested")</f>
        <v>0</v>
      </c>
      <c r="E5" s="39">
        <f>COUNTIF(J11:J19,"Blocked")</f>
        <v>0</v>
      </c>
      <c r="F5" s="38">
        <v>5</v>
      </c>
      <c r="G5" s="16"/>
      <c r="H5" s="35"/>
      <c r="J5" s="16"/>
    </row>
    <row r="6" spans="1:13" s="26" customFormat="1" ht="409.5" customHeight="1">
      <c r="A6" s="37"/>
      <c r="B6" s="36"/>
      <c r="E6" s="17"/>
      <c r="G6" s="16"/>
      <c r="H6" s="35"/>
      <c r="J6" s="16"/>
    </row>
    <row r="7" spans="1:13" s="26" customFormat="1">
      <c r="A7" s="107" t="s">
        <v>13</v>
      </c>
      <c r="B7" s="107" t="s">
        <v>5</v>
      </c>
      <c r="C7" s="107" t="s">
        <v>80</v>
      </c>
      <c r="D7" s="107" t="s">
        <v>14</v>
      </c>
      <c r="E7" s="107" t="s">
        <v>15</v>
      </c>
      <c r="F7" s="107" t="s">
        <v>16</v>
      </c>
      <c r="G7" s="107" t="s">
        <v>17</v>
      </c>
      <c r="H7" s="107"/>
      <c r="I7" s="107"/>
      <c r="J7" s="107" t="s">
        <v>17</v>
      </c>
      <c r="K7" s="107"/>
      <c r="L7" s="107"/>
      <c r="M7" s="107" t="s">
        <v>18</v>
      </c>
    </row>
    <row r="8" spans="1:13" s="26" customFormat="1">
      <c r="A8" s="107"/>
      <c r="B8" s="107"/>
      <c r="C8" s="107"/>
      <c r="D8" s="107"/>
      <c r="E8" s="107"/>
      <c r="F8" s="107"/>
      <c r="G8" s="107" t="s">
        <v>19</v>
      </c>
      <c r="H8" s="107"/>
      <c r="I8" s="107"/>
      <c r="J8" s="107" t="s">
        <v>20</v>
      </c>
      <c r="K8" s="107"/>
      <c r="L8" s="107"/>
      <c r="M8" s="107"/>
    </row>
    <row r="9" spans="1:13" s="26" customFormat="1">
      <c r="A9" s="107"/>
      <c r="B9" s="107"/>
      <c r="C9" s="107"/>
      <c r="D9" s="107"/>
      <c r="E9" s="107"/>
      <c r="F9" s="107"/>
      <c r="G9" s="34" t="s">
        <v>21</v>
      </c>
      <c r="H9" s="33" t="s">
        <v>22</v>
      </c>
      <c r="I9" s="32" t="s">
        <v>23</v>
      </c>
      <c r="J9" s="34" t="s">
        <v>21</v>
      </c>
      <c r="K9" s="33" t="s">
        <v>22</v>
      </c>
      <c r="L9" s="32" t="s">
        <v>23</v>
      </c>
      <c r="M9" s="107"/>
    </row>
    <row r="10" spans="1:13" s="26" customFormat="1">
      <c r="A10" s="108" t="s">
        <v>79</v>
      </c>
      <c r="B10" s="108"/>
      <c r="C10" s="108"/>
      <c r="D10" s="108"/>
      <c r="E10" s="108"/>
      <c r="F10" s="108"/>
      <c r="G10" s="108"/>
      <c r="H10" s="108"/>
      <c r="I10" s="108"/>
      <c r="J10" s="108"/>
      <c r="K10" s="108"/>
      <c r="L10" s="108"/>
      <c r="M10" s="108"/>
    </row>
    <row r="11" spans="1:13" s="26" customFormat="1" ht="33.6">
      <c r="A11" s="30" t="s">
        <v>115</v>
      </c>
      <c r="B11" s="25" t="s">
        <v>114</v>
      </c>
      <c r="C11" s="19"/>
      <c r="D11" s="19"/>
      <c r="E11" s="29" t="s">
        <v>113</v>
      </c>
      <c r="F11" s="29" t="s">
        <v>113</v>
      </c>
      <c r="G11" s="48" t="s">
        <v>117</v>
      </c>
      <c r="H11" s="68">
        <v>46269</v>
      </c>
      <c r="I11" s="67" t="s">
        <v>24</v>
      </c>
      <c r="J11" s="21"/>
      <c r="K11" s="28"/>
      <c r="L11" s="20"/>
      <c r="M11" s="19"/>
    </row>
    <row r="12" spans="1:13" s="26" customFormat="1" ht="33.6">
      <c r="A12" s="30" t="s">
        <v>112</v>
      </c>
      <c r="B12" s="25" t="s">
        <v>111</v>
      </c>
      <c r="C12" s="19"/>
      <c r="D12" s="19"/>
      <c r="E12" s="29" t="s">
        <v>66</v>
      </c>
      <c r="F12" s="29" t="s">
        <v>66</v>
      </c>
      <c r="G12" s="48" t="s">
        <v>117</v>
      </c>
      <c r="H12" s="68">
        <v>46269</v>
      </c>
      <c r="I12" s="67" t="s">
        <v>24</v>
      </c>
      <c r="J12" s="21"/>
      <c r="K12" s="28"/>
      <c r="L12" s="20"/>
      <c r="M12" s="19"/>
    </row>
    <row r="13" spans="1:13" s="26" customFormat="1" ht="33.6">
      <c r="A13" s="30" t="s">
        <v>110</v>
      </c>
      <c r="B13" s="25" t="s">
        <v>109</v>
      </c>
      <c r="C13" s="19"/>
      <c r="D13" s="19"/>
      <c r="E13" s="29" t="s">
        <v>26</v>
      </c>
      <c r="F13" s="29" t="s">
        <v>26</v>
      </c>
      <c r="G13" s="48" t="s">
        <v>117</v>
      </c>
      <c r="H13" s="68">
        <v>46269</v>
      </c>
      <c r="I13" s="67" t="s">
        <v>24</v>
      </c>
      <c r="J13" s="21"/>
      <c r="K13" s="28"/>
      <c r="L13" s="20"/>
      <c r="M13" s="19"/>
    </row>
    <row r="14" spans="1:13" s="26" customFormat="1" ht="33.6">
      <c r="A14" s="30" t="s">
        <v>108</v>
      </c>
      <c r="B14" s="25" t="s">
        <v>107</v>
      </c>
      <c r="C14" s="19"/>
      <c r="D14" s="19"/>
      <c r="E14" s="29" t="s">
        <v>106</v>
      </c>
      <c r="F14" s="29" t="s">
        <v>106</v>
      </c>
      <c r="G14" s="48" t="s">
        <v>117</v>
      </c>
      <c r="H14" s="68">
        <v>46269</v>
      </c>
      <c r="I14" s="67" t="s">
        <v>24</v>
      </c>
      <c r="J14" s="21"/>
      <c r="K14" s="28"/>
      <c r="L14" s="20"/>
      <c r="M14" s="19"/>
    </row>
    <row r="15" spans="1:13" s="26" customFormat="1">
      <c r="A15" s="104" t="s">
        <v>65</v>
      </c>
      <c r="B15" s="104"/>
      <c r="C15" s="104"/>
      <c r="D15" s="104"/>
      <c r="E15" s="104"/>
      <c r="F15" s="104"/>
      <c r="G15" s="104"/>
      <c r="H15" s="104"/>
      <c r="I15" s="104"/>
      <c r="J15" s="104"/>
      <c r="K15" s="104"/>
      <c r="L15" s="104"/>
      <c r="M15" s="104"/>
    </row>
    <row r="16" spans="1:13" s="26" customFormat="1" ht="67.2">
      <c r="A16" s="25" t="s">
        <v>105</v>
      </c>
      <c r="B16" s="24" t="s">
        <v>104</v>
      </c>
      <c r="C16" s="24" t="s">
        <v>100</v>
      </c>
      <c r="D16" s="23" t="s">
        <v>38</v>
      </c>
      <c r="E16" s="1" t="s">
        <v>103</v>
      </c>
      <c r="F16" s="1" t="s">
        <v>103</v>
      </c>
      <c r="G16" s="48" t="s">
        <v>117</v>
      </c>
      <c r="H16" s="68">
        <v>46269</v>
      </c>
      <c r="I16" s="67" t="s">
        <v>24</v>
      </c>
      <c r="J16" s="48" t="s">
        <v>117</v>
      </c>
      <c r="K16" s="68" t="s">
        <v>411</v>
      </c>
      <c r="L16" s="67" t="s">
        <v>24</v>
      </c>
      <c r="M16" s="19"/>
    </row>
    <row r="17" spans="1:13" s="26" customFormat="1" ht="67.2">
      <c r="A17" s="25" t="s">
        <v>102</v>
      </c>
      <c r="B17" s="25" t="s">
        <v>101</v>
      </c>
      <c r="C17" s="24" t="s">
        <v>100</v>
      </c>
      <c r="D17" s="23" t="s">
        <v>38</v>
      </c>
      <c r="E17" s="22" t="s">
        <v>99</v>
      </c>
      <c r="F17" s="22" t="s">
        <v>99</v>
      </c>
      <c r="G17" s="48" t="s">
        <v>117</v>
      </c>
      <c r="H17" s="68">
        <v>46269</v>
      </c>
      <c r="I17" s="67" t="s">
        <v>24</v>
      </c>
      <c r="J17" s="48" t="s">
        <v>117</v>
      </c>
      <c r="K17" s="68" t="s">
        <v>411</v>
      </c>
      <c r="L17" s="67" t="s">
        <v>24</v>
      </c>
      <c r="M17" s="19"/>
    </row>
    <row r="18" spans="1:13" s="26" customFormat="1" ht="100.8">
      <c r="A18" s="25" t="s">
        <v>98</v>
      </c>
      <c r="B18" s="25" t="s">
        <v>97</v>
      </c>
      <c r="C18" s="24" t="s">
        <v>96</v>
      </c>
      <c r="D18" s="23" t="s">
        <v>38</v>
      </c>
      <c r="E18" s="22" t="s">
        <v>95</v>
      </c>
      <c r="F18" s="22" t="s">
        <v>95</v>
      </c>
      <c r="G18" s="48" t="s">
        <v>117</v>
      </c>
      <c r="H18" s="68">
        <v>46269</v>
      </c>
      <c r="I18" s="67" t="s">
        <v>24</v>
      </c>
      <c r="J18" s="48" t="s">
        <v>117</v>
      </c>
      <c r="K18" s="68" t="s">
        <v>411</v>
      </c>
      <c r="L18" s="67" t="s">
        <v>24</v>
      </c>
      <c r="M18" s="19"/>
    </row>
    <row r="19" spans="1:13" ht="100.8">
      <c r="A19" s="25" t="s">
        <v>94</v>
      </c>
      <c r="B19" s="25" t="s">
        <v>93</v>
      </c>
      <c r="C19" s="24" t="s">
        <v>92</v>
      </c>
      <c r="D19" s="23" t="s">
        <v>38</v>
      </c>
      <c r="E19" s="23" t="s">
        <v>91</v>
      </c>
      <c r="F19" s="22" t="s">
        <v>90</v>
      </c>
      <c r="G19" s="48" t="s">
        <v>121</v>
      </c>
      <c r="H19" s="68">
        <v>46269</v>
      </c>
      <c r="I19" s="67" t="s">
        <v>24</v>
      </c>
      <c r="J19" s="48" t="s">
        <v>117</v>
      </c>
      <c r="K19" s="68" t="s">
        <v>411</v>
      </c>
      <c r="L19" s="67" t="s">
        <v>24</v>
      </c>
      <c r="M19" s="19"/>
    </row>
    <row r="20" spans="1:13" ht="84">
      <c r="A20" s="25" t="s">
        <v>89</v>
      </c>
      <c r="B20" s="25" t="s">
        <v>88</v>
      </c>
      <c r="C20" s="24" t="s">
        <v>87</v>
      </c>
      <c r="D20" s="23" t="s">
        <v>38</v>
      </c>
      <c r="E20" s="22" t="s">
        <v>86</v>
      </c>
      <c r="F20" s="22" t="s">
        <v>85</v>
      </c>
      <c r="G20" s="48" t="s">
        <v>121</v>
      </c>
      <c r="H20" s="68">
        <v>46269</v>
      </c>
      <c r="I20" s="67" t="s">
        <v>24</v>
      </c>
      <c r="J20" s="48" t="s">
        <v>117</v>
      </c>
      <c r="K20" s="68" t="s">
        <v>411</v>
      </c>
      <c r="L20" s="67" t="s">
        <v>24</v>
      </c>
      <c r="M20" s="19"/>
    </row>
    <row r="21" spans="1:13">
      <c r="A21" s="18"/>
      <c r="B21" s="18"/>
      <c r="C21" s="18"/>
      <c r="D21" s="13"/>
      <c r="E21" s="17"/>
      <c r="F21" s="17"/>
      <c r="G21" s="16"/>
      <c r="H21" s="15"/>
      <c r="I21" s="14"/>
      <c r="J21" s="16"/>
      <c r="K21" s="15"/>
      <c r="L21" s="14"/>
      <c r="M21" s="13"/>
    </row>
  </sheetData>
  <mergeCells count="15">
    <mergeCell ref="A15:M15"/>
    <mergeCell ref="G7:I7"/>
    <mergeCell ref="J7:L7"/>
    <mergeCell ref="M7:M9"/>
    <mergeCell ref="G8:I8"/>
    <mergeCell ref="J8:L8"/>
    <mergeCell ref="A10:M10"/>
    <mergeCell ref="B1:F1"/>
    <mergeCell ref="B2:F2"/>
    <mergeCell ref="A7:A9"/>
    <mergeCell ref="B7:B9"/>
    <mergeCell ref="C7:C9"/>
    <mergeCell ref="D7:D9"/>
    <mergeCell ref="E7:E9"/>
    <mergeCell ref="F7:F9"/>
  </mergeCells>
  <conditionalFormatting sqref="G11:G14">
    <cfRule type="containsText" dxfId="8" priority="17" operator="containsText" text="Pass">
      <formula>NOT(ISERROR(SEARCH("Pass",G11)))</formula>
    </cfRule>
    <cfRule type="containsText" dxfId="7" priority="18" operator="containsText" text="Fail">
      <formula>NOT(ISERROR(SEARCH("Fail",G11)))</formula>
    </cfRule>
    <cfRule type="containsText" dxfId="6" priority="19" operator="containsText" text="Pass">
      <formula>NOT(ISERROR(SEARCH("Pass",G11)))</formula>
    </cfRule>
    <cfRule type="colorScale" priority="20">
      <colorScale>
        <cfvo type="min"/>
        <cfvo type="percentile" val="50"/>
        <cfvo type="max"/>
        <color rgb="FFF8696B"/>
        <color rgb="FFFFEB84"/>
        <color rgb="FF63BE7B"/>
      </colorScale>
    </cfRule>
  </conditionalFormatting>
  <conditionalFormatting sqref="G16:G18">
    <cfRule type="colorScale" priority="28">
      <colorScale>
        <cfvo type="min"/>
        <cfvo type="percentile" val="50"/>
        <cfvo type="max"/>
        <color rgb="FFF8696B"/>
        <color rgb="FFFFEB84"/>
        <color rgb="FF63BE7B"/>
      </colorScale>
    </cfRule>
  </conditionalFormatting>
  <conditionalFormatting sqref="G16:G20">
    <cfRule type="containsText" dxfId="5" priority="13" operator="containsText" text="Pass">
      <formula>NOT(ISERROR(SEARCH("Pass",G16)))</formula>
    </cfRule>
    <cfRule type="containsText" dxfId="4" priority="14" operator="containsText" text="Fail">
      <formula>NOT(ISERROR(SEARCH("Fail",G16)))</formula>
    </cfRule>
    <cfRule type="containsText" dxfId="3" priority="15" operator="containsText" text="Pass">
      <formula>NOT(ISERROR(SEARCH("Pass",G16)))</formula>
    </cfRule>
  </conditionalFormatting>
  <conditionalFormatting sqref="G19:G20">
    <cfRule type="colorScale" priority="16">
      <colorScale>
        <cfvo type="min"/>
        <cfvo type="percentile" val="50"/>
        <cfvo type="max"/>
        <color rgb="FFF8696B"/>
        <color rgb="FFFFEB84"/>
        <color rgb="FF63BE7B"/>
      </colorScale>
    </cfRule>
  </conditionalFormatting>
  <conditionalFormatting sqref="J16:J20">
    <cfRule type="colorScale" priority="4">
      <colorScale>
        <cfvo type="min"/>
        <cfvo type="percentile" val="50"/>
        <cfvo type="max"/>
        <color rgb="FFF8696B"/>
        <color rgb="FFFFEB84"/>
        <color rgb="FF63BE7B"/>
      </colorScale>
    </cfRule>
  </conditionalFormatting>
  <conditionalFormatting sqref="J16:J20">
    <cfRule type="containsText" dxfId="2" priority="1" operator="containsText" text="Pass">
      <formula>NOT(ISERROR(SEARCH("Pass",J16)))</formula>
    </cfRule>
    <cfRule type="containsText" dxfId="1" priority="2" operator="containsText" text="Fail">
      <formula>NOT(ISERROR(SEARCH("Fail",J16)))</formula>
    </cfRule>
    <cfRule type="containsText" dxfId="0" priority="3" operator="containsText" text="Pass">
      <formula>NOT(ISERROR(SEARCH("Pass",J16)))</formula>
    </cfRule>
  </conditionalFormatting>
  <dataValidations count="2">
    <dataValidation type="list" operator="equal" allowBlank="1" showErrorMessage="1" promptTitle="dfdf" sqref="G21 J11:J14 J21" xr:uid="{00000000-0002-0000-0400-000000000000}">
      <formula1>"Passed,Untested,Failed,Blocked"</formula1>
      <formula2>0</formula2>
    </dataValidation>
    <dataValidation type="list" allowBlank="1" showErrorMessage="1" sqref="G16:G20 G11:G14 J16:J20" xr:uid="{65260FF4-9C4E-46E1-BAAB-1A9E14B642C6}">
      <formula1>"Pass,Fail"</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Trường hợp kiểm thử</vt:lpstr>
      <vt:lpstr>Thư viện thẻ</vt:lpstr>
      <vt:lpstr>Lịch sử rèn luyện</vt:lpstr>
      <vt:lpstr>chi tiết thư mục</vt:lpstr>
      <vt:lpstr>Kiểm tra</vt:lpstr>
      <vt:lpstr>Quản lý tài liệu học tập</vt:lpstr>
      <vt:lpstr>Quản lý ghi chú cá nhân</vt:lpstr>
      <vt:lpstr>Thống kê học tập</vt:lpstr>
      <vt:lpstr>Chatbot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ADMIN</cp:lastModifiedBy>
  <cp:revision/>
  <dcterms:created xsi:type="dcterms:W3CDTF">2021-04-26T08:47:37Z</dcterms:created>
  <dcterms:modified xsi:type="dcterms:W3CDTF">2026-05-09T07:25:20Z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ies>
</file>