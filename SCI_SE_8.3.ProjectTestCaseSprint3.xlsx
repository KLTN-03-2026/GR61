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hi\Khóa luận tốt nghiệp\Bao cao Su dung cho de tai nhom\"/>
    </mc:Choice>
  </mc:AlternateContent>
  <xr:revisionPtr revIDLastSave="0" documentId="13_ncr:1_{D5A44C87-6CA6-44B4-AE56-F35A51F31998}" xr6:coauthVersionLast="47" xr6:coauthVersionMax="47" xr10:uidLastSave="{00000000-0000-0000-0000-000000000000}"/>
  <bookViews>
    <workbookView xWindow="-113" yWindow="-113" windowWidth="24267" windowHeight="13023" tabRatio="858" xr2:uid="{00000000-000D-0000-FFFF-FFFF00000000}"/>
  </bookViews>
  <sheets>
    <sheet name="Trường hợp kiểm thử" sheetId="12" r:id="rId1"/>
    <sheet name="Thống kê và báo cáo" sheetId="24" r:id="rId2"/>
    <sheet name="Quản lý tài khoản người dùng" sheetId="27" r:id="rId3"/>
    <sheet name="Tổng quan hệ thống" sheetId="28" r:id="rId4"/>
    <sheet name="Theo dõi hoạt động người dùng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2" l="1"/>
  <c r="E5" i="29" l="1"/>
  <c r="D5" i="29"/>
  <c r="E4" i="29"/>
  <c r="D4" i="29"/>
  <c r="E5" i="28"/>
  <c r="D5" i="28"/>
  <c r="E4" i="28"/>
  <c r="D4" i="28"/>
</calcChain>
</file>

<file path=xl/sharedStrings.xml><?xml version="1.0" encoding="utf-8"?>
<sst xmlns="http://schemas.openxmlformats.org/spreadsheetml/2006/main" count="924" uniqueCount="317">
  <si>
    <t>Tên dự án</t>
  </si>
  <si>
    <t>STT</t>
  </si>
  <si>
    <t>Chức năng</t>
  </si>
  <si>
    <t>Sheet Name</t>
  </si>
  <si>
    <t>Mô tả</t>
  </si>
  <si>
    <t>Project Name</t>
  </si>
  <si>
    <t>Module Code</t>
  </si>
  <si>
    <t>Hoàn thành</t>
  </si>
  <si>
    <t>Lỗi</t>
  </si>
  <si>
    <t>Chưa kiểm tra</t>
  </si>
  <si>
    <t>Round 1</t>
  </si>
  <si>
    <t>Round 2</t>
  </si>
  <si>
    <t>Test Case ID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</si>
  <si>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</si>
  <si>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</si>
  <si>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</si>
  <si>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</si>
  <si>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</si>
  <si>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</si>
  <si>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</si>
  <si>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</si>
  <si>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</si>
  <si>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</si>
  <si>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Hoàng</t>
  </si>
  <si>
    <t>Thiết kế và phát triển nền tảng học tập thông minh tích hợp trợ lý ảo AI và cá nhân hoá lộ trình học tập</t>
  </si>
  <si>
    <t>Số lượng test</t>
  </si>
  <si>
    <t>Hằng</t>
  </si>
  <si>
    <t>Đăng nhập thành công 
vào hệ thống</t>
  </si>
  <si>
    <t>FUNC-TKHT07</t>
  </si>
  <si>
    <t>FUNC-TKHT06</t>
  </si>
  <si>
    <t>FUNC-TKHT05</t>
  </si>
  <si>
    <t>FUNC-TKHT04</t>
  </si>
  <si>
    <t>FUNC-TKHT03</t>
  </si>
  <si>
    <t>FUNC-TKHT02</t>
  </si>
  <si>
    <t>FUNC-TKHT01</t>
  </si>
  <si>
    <t>Hành động</t>
  </si>
  <si>
    <t>Tổng số trường hợp thử nghiệm</t>
  </si>
  <si>
    <t>Bị chăn</t>
  </si>
  <si>
    <t xml:space="preserve"> THIẾT KẾ VÀ PHÁT TRIỂN NỀN TÁNG HỌC TẬP THÔNG MINH TÍCH HỢP TRỢ LÝ ẢO AI VÀ CÁ NHÂN HOÁ LỘ TRÌNH HỌC TẬP</t>
  </si>
  <si>
    <t xml:space="preserve"> -Label : white
 -Status : enable</t>
  </si>
  <si>
    <t>Pass</t>
  </si>
  <si>
    <t>TEST CASE SYSTEM SPRINT 3</t>
  </si>
  <si>
    <t>TEST CASE SYSTEM SPRINT3</t>
  </si>
  <si>
    <t>Tổng quan hệ thống</t>
  </si>
  <si>
    <t>Theo dõi hoạt động người dùng</t>
  </si>
  <si>
    <t>Quản lý tài khoản người dùng</t>
  </si>
  <si>
    <t>Thống kê và báo cáo</t>
  </si>
  <si>
    <t xml:space="preserve">HỆ THỐNG THÔNG MINH HỖ TRỢ QUẢN LÝ VÀ TỐI ƯU HÓA LỘ TRÌNH HỌC TẬP CÁ NHÂN </t>
  </si>
  <si>
    <t>Bị chặn</t>
  </si>
  <si>
    <t>Tổng lần kiểm tra</t>
  </si>
  <si>
    <t>GUI_SHOW Quản lý xem thống kê và báo cáo</t>
  </si>
  <si>
    <t>[Label] “THỐNG KÊ Và BÁO CÁO”</t>
  </si>
  <si>
    <t xml:space="preserve"> Label: white
Status: enable</t>
  </si>
  <si>
    <t xml:space="preserve"> Label : white
 Status : enable</t>
  </si>
  <si>
    <t>15/4/2026</t>
  </si>
  <si>
    <t>[Textbox] “TỪ NGÀY”</t>
  </si>
  <si>
    <t>Textbox: enable</t>
  </si>
  <si>
    <t>[Textbox] “ĐẾN NGÀY”</t>
  </si>
  <si>
    <t>[Button] “LỌC DỮ LIỆU”</t>
  </si>
  <si>
    <t>Button: green        Status: enable      Click responsive</t>
  </si>
  <si>
    <t>Button: green                               Status: enable                                Click responsive</t>
  </si>
  <si>
    <t>[Box] “HỌC VIÊN MỚI”</t>
  </si>
  <si>
    <t>Box: blue Status: enable</t>
  </si>
  <si>
    <t>Box: blue                                         Status: enable</t>
  </si>
  <si>
    <t>[Box] “TÀI LIỆU MỚI”</t>
  </si>
  <si>
    <t>[Box] “FLASHCARD MỚI”</t>
  </si>
  <si>
    <t>[Button] “XUẤT FILE HỌC VIÊN”</t>
  </si>
  <si>
    <t>Button: green                                    Status: enable                                     Click responsive</t>
  </si>
  <si>
    <t>[Table] “DỮ LIỆU CHI TIẾT: HỌC VIÊN”</t>
  </si>
  <si>
    <t>Table: enable</t>
  </si>
  <si>
    <t>[Table] “DỮ LIỆU CHI TIẾT: TÀI LIỆU”</t>
  </si>
  <si>
    <t>[Table] “DỮ LIỆU CHI TIẾT: FLASHCARD”</t>
  </si>
  <si>
    <t>[Icon] “Download”</t>
  </si>
  <si>
    <t>Icon: enable              Click responsive</t>
  </si>
  <si>
    <t>[Row] Tên tài liệu</t>
  </si>
  <si>
    <t>Hiển thị đúng định dạng (DOCX, PDF…)</t>
  </si>
  <si>
    <t>[Row] Định dạng</t>
  </si>
  <si>
    <t>[Row] Mô tả</t>
  </si>
  <si>
    <t>Hiển thị đúng ngày tạo</t>
  </si>
  <si>
    <t xml:space="preserve">FUNCTION_SHOW Xem Thống kê và Báo cáo </t>
  </si>
  <si>
    <t>Kiểm tra mở giao diện “Thống kê và Báo cáo”</t>
  </si>
  <si>
    <t>1. Đăng nhập       2. Click menu “Thống kê và Báo cáo”</t>
  </si>
  <si>
    <t>Đăng nhập thành công vào hệ thống</t>
  </si>
  <si>
    <t>Hiển thị giao diện thống kê</t>
  </si>
  <si>
    <t>Kiểm tra nhập ngày bắt đầu</t>
  </si>
  <si>
    <t>1. Mở giao diện 2. Nhập ngày hợp lệ vào ô “Từ ngày”</t>
  </si>
  <si>
    <t>Textbox nhận dữ liệu, không hiển thị ngày được chọn</t>
  </si>
  <si>
    <t>Kiểm tra nhập ngày kết thúc</t>
  </si>
  <si>
    <t>1. Mở giao diện          2. Nhập ngày hợp lệ vào ô “Đến ngày”</t>
  </si>
  <si>
    <t>Kiểm tra lọc dữ liệu</t>
  </si>
  <si>
    <t>1. Nhập khoảng ngày hợp lệ            2. Click “Lọc dữ liệu”</t>
  </si>
  <si>
    <t>Dữ liệu được lọc không có phản hồi</t>
  </si>
  <si>
    <t>Kiểm tra hiển thị box “Học viên mới”</t>
  </si>
  <si>
    <t>1.Click vào học viên mới   2.Lọc dữ liệu có kết quả</t>
  </si>
  <si>
    <t>Hiển thị số lượng học viên mới</t>
  </si>
  <si>
    <t>Kiểm tra hiển thị box “Tài liệu mới”</t>
  </si>
  <si>
    <t>1.Click vào tài liệu mới     2.Lọc dữ liệu có kết quả</t>
  </si>
  <si>
    <t>Hiển thị số lượng tài liệu mới</t>
  </si>
  <si>
    <t>Kiểm tra tải xuống " Tài Liệu mới"</t>
  </si>
  <si>
    <t>1.Click vào tài liệu mới     2.Lọc dữ liệu có kết quả         3.Click vào biểu tượng tải xuống</t>
  </si>
  <si>
    <t>Hiển thị xem trước file cần tải và cho phép tải xuống</t>
  </si>
  <si>
    <t>FUNC-TKHT08</t>
  </si>
  <si>
    <t>Kiểm tra hiển thị box “Flashcard mới”</t>
  </si>
  <si>
    <t>1.Click vào Flashcard mới   2.Lọc dữ liệu có kết quả</t>
  </si>
  <si>
    <t>Hiển thị số lượng flashcard mới</t>
  </si>
  <si>
    <t>FUNC-TKHT09</t>
  </si>
  <si>
    <t>Kiểm tra hiển thị bảng học viên</t>
  </si>
  <si>
    <t>1.Click vào học viên mới    2.Lọc dữ liệu có kết quả</t>
  </si>
  <si>
    <t>Hiển thị Tên, Email, Ngày tham gia</t>
  </si>
  <si>
    <t>FUNC-TKHT10</t>
  </si>
  <si>
    <t>Kiểm tra hiển thị bảng tài liệu</t>
  </si>
  <si>
    <t>Hiển thị Tên, Định dạng, Hành động</t>
  </si>
  <si>
    <t>FUNC-TKHT11</t>
  </si>
  <si>
    <t>Kiểm tra hiển thị bảng flashcard</t>
  </si>
  <si>
    <t>Hiển thị Tên bộ thẻ, Mô tả, Ngày tạo</t>
  </si>
  <si>
    <t>FUNC-TKHT12</t>
  </si>
  <si>
    <t>Kiểm tra chat bot chào mừng</t>
  </si>
  <si>
    <t>1.Đăng nhập   2.Mở giao diện chat bot</t>
  </si>
  <si>
    <t>Hiển thị lời chào từ chat</t>
  </si>
  <si>
    <t>FUNC-TKHT13</t>
  </si>
  <si>
    <t>Kiểm tra chat bot trả lời dữ liệu</t>
  </si>
  <si>
    <t>1.Đăng nhập   2.Mở giao diện chat bot          3.Nhập câu hỏi “học viên mới”</t>
  </si>
  <si>
    <t>Hiển thị thông báo kết nối lỗi</t>
  </si>
  <si>
    <t>FUNC-TKHT14</t>
  </si>
  <si>
    <t>Kiểm tra chat bot thông báo tải xuống</t>
  </si>
  <si>
    <t>1. Click download file</t>
  </si>
  <si>
    <t>Hiển thị “File đã được tải xuống thành công”</t>
  </si>
  <si>
    <t>FUNC-TKHT15</t>
  </si>
  <si>
    <t>Kiểm tra đăng xuất khi đang ở trang thống kê</t>
  </si>
  <si>
    <t>1. Mở trang “Thống kê và Báo cáo”       2. Click “Đăng xuất”</t>
  </si>
  <si>
    <t>Hệ thống thoát, quay về màn hình đăng nhập</t>
  </si>
  <si>
    <t>GUI-TKBC01</t>
  </si>
  <si>
    <t>GUI-TKBC02</t>
  </si>
  <si>
    <t>GUI-TKBC03</t>
  </si>
  <si>
    <t>GUI-TKBC04</t>
  </si>
  <si>
    <t>GUI-TKBC05</t>
  </si>
  <si>
    <t>GUI-TKBC06</t>
  </si>
  <si>
    <t>GUI-TKBC07</t>
  </si>
  <si>
    <t>GUI-TKBC08</t>
  </si>
  <si>
    <t>GUI-TKBC09</t>
  </si>
  <si>
    <t>GUI-TKBC10</t>
  </si>
  <si>
    <t>GUI-TKBC11</t>
  </si>
  <si>
    <t>GUI-TKBC12</t>
  </si>
  <si>
    <t>GUI-TKBC13</t>
  </si>
  <si>
    <t>GUI-TKBC14</t>
  </si>
  <si>
    <t>GUI-TKBC15</t>
  </si>
  <si>
    <t>GUI-TKBC16</t>
  </si>
  <si>
    <t>GUI-TKBC17</t>
  </si>
  <si>
    <t>GUI_SHOW Quản lý tài khoản người dùng</t>
  </si>
  <si>
    <t>[Label] “QUẢN LÝ TÀI KHOẢN”</t>
  </si>
  <si>
    <t>[Textbox] “Tìm theo tên hoặc email học viên</t>
  </si>
  <si>
    <t>Textbox: enable, text color black</t>
  </si>
  <si>
    <t>Textbox: enable                                                        Text color black</t>
  </si>
  <si>
    <t>[Dropdown] "Tất cả các vai trò"</t>
  </si>
  <si>
    <t>Dropdown: enable</t>
  </si>
  <si>
    <t>[Button] “TỔNG: X TÀI KHOẢN”</t>
  </si>
  <si>
    <t>Button: blue Status: enable</t>
  </si>
  <si>
    <t>Button: blue                                                            Status: enable</t>
  </si>
  <si>
    <t>[Card] Người dùng  “HỌCVIÊN”</t>
  </si>
  <si>
    <t>Card: enable</t>
  </si>
  <si>
    <t>[Card] Người dùng “ADMIN”</t>
  </si>
  <si>
    <t>[Icon] Reset mật khẩu</t>
  </si>
  <si>
    <t>Icon: enable                                                             Click responsive</t>
  </si>
  <si>
    <t>[Icon] Khóa tài khoản</t>
  </si>
  <si>
    <t>Icon: enable                                             Click responsive</t>
  </si>
  <si>
    <t>[Popup] “Cấp lại mật khẩu”</t>
  </si>
  <si>
    <t>Popup: enable</t>
  </si>
  <si>
    <t>[Popup] “Khóa tài khoản”</t>
  </si>
  <si>
    <t>[Status] “HOẠT ĐỘNG”</t>
  </si>
  <si>
    <t>Status: green, enable</t>
  </si>
  <si>
    <t>[Button] “ĐĂNG XUẤT”</t>
  </si>
  <si>
    <t>Button: green                                  Status: enable                               Click responsive</t>
  </si>
  <si>
    <t>FUNCTION_SHOW Quản lý tài khoản người dùng</t>
  </si>
  <si>
    <t>Kiểm tra mở giao diện “Quản lý Tài khoản”</t>
  </si>
  <si>
    <t>1. Đăng nhập          2. Click menu “Quản lý tài khoản”</t>
  </si>
  <si>
    <t>Hiển thị giao diện quản lý tài khoản  người dùng</t>
  </si>
  <si>
    <t>Kiểm tra tìm kiếm theo tên</t>
  </si>
  <si>
    <t>1. Nhập tên “Trần Huy Hoàng” vào ô tìm kiếm</t>
  </si>
  <si>
    <t>Hiển thị đúng kết quả người dùng</t>
  </si>
  <si>
    <t>Kiểm tra tìm kiếm theo email</t>
  </si>
  <si>
    <t>1. Nhập email “abcxyz@gmail.com” vào ô tìm kiếm</t>
  </si>
  <si>
    <t>Kiểm tra lọc theo vai trò</t>
  </si>
  <si>
    <t>1. Click dropdown “Tất cả vai trò”           2. Chọn “Học viên”</t>
  </si>
  <si>
    <t>Kiểm tra hiển thị tổng số tài khoản</t>
  </si>
  <si>
    <t>1. Đăng nhập          2. Mở giao diện quản lý người dùng</t>
  </si>
  <si>
    <t>Hiển thị tổng số tài khoản đang có</t>
  </si>
  <si>
    <t>Kiểm tra hiển thị trạng thái hoạt động</t>
  </si>
  <si>
    <t>Hiển thị trạng thái “HOẠT ĐỘNG” cho từng tài khoản</t>
  </si>
  <si>
    <t>Kiểm tra nút khóa tài</t>
  </si>
  <si>
    <t>1. Đăng nhập          2. Mở giao diện quản lý người dùng 3.Click icon khóa đỏ trên thẻ người dùng</t>
  </si>
  <si>
    <t>Hiển thị thông báo “Tài khoản đã bị khóa”</t>
  </si>
  <si>
    <t>Kiểm tra nút reset mật khẩu</t>
  </si>
  <si>
    <t>1. Đăng nhập          2. Mở giao diện quản lý người dùng 3.Click icon reset (mũi tên tròn) trên thẻ người dùng</t>
  </si>
  <si>
    <t>Hiển thị thông báo “Mật khẩu đã được reset”</t>
  </si>
  <si>
    <t>Kiểm tra lỗi tìm kiếm</t>
  </si>
  <si>
    <t>1. Nhập ký tự đặc biệt vào ô tìm kiếm</t>
  </si>
  <si>
    <t>Hiển thị thông báo lỗi “Không tìm thấy dữ liệu”</t>
  </si>
  <si>
    <t>1.Đăng nhập   2.Mở giao diện chat bot          3.Nhập câu hỏi “tìm kiếm học viên Hoàng”</t>
  </si>
  <si>
    <t>Kiểm tra nút mở khóa tài khoản</t>
  </si>
  <si>
    <t>1. Click icon mở khóa xanh trên thẻ người dùng</t>
  </si>
  <si>
    <t>Hiển thị thông báo “Tài khoản  mở khóa thành công”</t>
  </si>
  <si>
    <t>Kiểm tra đăng xuất từ giao diện quản lý người dùng</t>
  </si>
  <si>
    <t>1. Mở giao diện quản lý người dùng           2. Click nút “Đăng xuất”</t>
  </si>
  <si>
    <t>Hệ thống thoát về màn hình đăng nhập</t>
  </si>
  <si>
    <t>GUI-QLTK01</t>
  </si>
  <si>
    <t>GUI-QLTK02</t>
  </si>
  <si>
    <t>GUI-QLTK04</t>
  </si>
  <si>
    <t>GUI-QLTK05</t>
  </si>
  <si>
    <t>GUI-QLTK06</t>
  </si>
  <si>
    <t>GUI-QLTK07</t>
  </si>
  <si>
    <t>GUI-QLTK08</t>
  </si>
  <si>
    <t>GUI-QLTK09</t>
  </si>
  <si>
    <t>GUI-QLTK10</t>
  </si>
  <si>
    <t>GUI-QLTK11</t>
  </si>
  <si>
    <t>GUI-QLTK12</t>
  </si>
  <si>
    <t>GUI-QLTK13</t>
  </si>
  <si>
    <t>GUI_SHOW Tổng quan hệ thống</t>
  </si>
  <si>
    <t>[ Tổng quan hệ thống] Label</t>
  </si>
  <si>
    <t>[Học viên] Card</t>
  </si>
  <si>
    <t>[Tài liệu] Card</t>
  </si>
  <si>
    <t>[Hoạt động gần đây] Card</t>
  </si>
  <si>
    <t>[Tỉ lệ AI] Card</t>
  </si>
  <si>
    <t>[Tăng trường học viên] Chart</t>
  </si>
  <si>
    <t>[Hoạt động gần đây] List</t>
  </si>
  <si>
    <t>Học viên tích cực] Panel</t>
  </si>
  <si>
    <t>FUNCTION_SHOW Tổng quan hệ thống</t>
  </si>
  <si>
    <t>Kiểm tra Load trang tổng quan</t>
  </si>
  <si>
    <t>1. Truy cập trang tổng quan hệ thống</t>
  </si>
  <si>
    <t>Đã đăng nhập admin</t>
  </si>
  <si>
    <t>Hiển thị đầy đủ số liệu (Học viên, Tài liệu, Hoạt động, Tỉ lệ AI)
Biểu đồ, hoạt động gần đây</t>
  </si>
  <si>
    <t>Kiểm tra thời gian "Cập nhật" hiển thị</t>
  </si>
  <si>
    <t>Hiển thị đúng thời gian admin truy cập vào trang tổng quan</t>
  </si>
  <si>
    <t>Kiểm tra khi Refresh trang</t>
  </si>
  <si>
    <t>1. Truy cập trang tổng quan hệ thống
2. Refresh trang</t>
  </si>
  <si>
    <t>Dữ liệu cập nhật lại</t>
  </si>
  <si>
    <t>Kiểm tra Load biểu đồ</t>
  </si>
  <si>
    <t xml:space="preserve">1. Truy cập trang tổng quan hệ thống
</t>
  </si>
  <si>
    <t>Hiển thị line chart đúng, hiển thị đúng theo tháng</t>
  </si>
  <si>
    <t>Kiểm tra Load danh sách hoạt động gần đây</t>
  </si>
  <si>
    <t>Hiển thị danh sách hoạt động gần đây</t>
  </si>
  <si>
    <t>Kiểm tra Click "Xem tất cả nhật ký"</t>
  </si>
  <si>
    <t xml:space="preserve">1. Truy cập trang tổng quan hệ thống
2. Click xem tất cả nhật ký
</t>
  </si>
  <si>
    <t>Điều hướng sang trang theo dõi hoạt động người dùng</t>
  </si>
  <si>
    <t>Kiểm tra Load danh sách Học viên tích cực</t>
  </si>
  <si>
    <t>Hiển thị học viên tích cực</t>
  </si>
  <si>
    <t>Kiểm tra người dùng bình thường truy cập trang dashboard</t>
  </si>
  <si>
    <t>Không phải admin</t>
  </si>
  <si>
    <t>Hệ thống chuyển hướng về trang chủ</t>
  </si>
  <si>
    <t>Kiểm tra khi API lỗi</t>
  </si>
  <si>
    <t>Backend lỗi</t>
  </si>
  <si>
    <t>Hiển thị thông báo lỗi</t>
  </si>
  <si>
    <t>Chart: enable</t>
  </si>
  <si>
    <t>List: enable</t>
  </si>
  <si>
    <t>Panel: enable</t>
  </si>
  <si>
    <t>GUI-TQHT01</t>
  </si>
  <si>
    <t>GUI-TQHT02</t>
  </si>
  <si>
    <t>GUI-TQHT03</t>
  </si>
  <si>
    <t>GUI-TQHT04</t>
  </si>
  <si>
    <t>GUI-TQHT05</t>
  </si>
  <si>
    <t>GUI-TQHT06</t>
  </si>
  <si>
    <t>GUI-TQHT07</t>
  </si>
  <si>
    <t>GUI-TQHT08</t>
  </si>
  <si>
    <t>FUNC-TQHT01</t>
  </si>
  <si>
    <t>FUNC-TQHT02</t>
  </si>
  <si>
    <t>FUNC-TQHT03</t>
  </si>
  <si>
    <t>FUNC-TQHT04</t>
  </si>
  <si>
    <t>FUNC-TQHT05</t>
  </si>
  <si>
    <t>FUNC-TQHT06</t>
  </si>
  <si>
    <t>FUNC-TQHT07</t>
  </si>
  <si>
    <t>FUNC-TQHT08</t>
  </si>
  <si>
    <t>FUNC-TQHT09</t>
  </si>
  <si>
    <t>GUI_SHOW Trang Theo dõi hoạt động</t>
  </si>
  <si>
    <t>[Textbox] Tên học viên</t>
  </si>
  <si>
    <t>[Tất cả mục] Dropdown</t>
  </si>
  <si>
    <t>[Datepicker] Ngày bắt đầu</t>
  </si>
  <si>
    <t>[Datepicker] Ngày kết thúc</t>
  </si>
  <si>
    <t>[Lọc] Button</t>
  </si>
  <si>
    <t>FUNCTION_SHOW Trang Theo dõi hoạt động</t>
  </si>
  <si>
    <t>Kiểm tra hiển thị danh sách hoạt động mặc định</t>
  </si>
  <si>
    <t xml:space="preserve">1. Truy cập vào trang theo dõi hoạt động
</t>
  </si>
  <si>
    <t>Hiển thị danh sách các mục hoạt động
Icon loại hoạt động, Tên người thực hiện , Nhãn hành động (Thêm/Cập nhật/Xóa), Nội dung chi tiết và Thời gian chính xác</t>
  </si>
  <si>
    <t>Kiểm tra sắp xếp của hoạt động</t>
  </si>
  <si>
    <t>Các hoạt động có thời gian gần nhất phải nằm phía trên các hoạt động cũ hơn</t>
  </si>
  <si>
    <t>Kiểm tra chức năng Lọc theo Tên học viên</t>
  </si>
  <si>
    <t>1. Truy cập vào trang theo dõi hoạt động
2. Nhập tên vào ô học viên
3. Nhấn "Lọc"</t>
  </si>
  <si>
    <t>Danh sách chỉ hiển thị các hoạt động được thực hiện bởi "Tên" đó. Các tên khác không xuất hiện.</t>
  </si>
  <si>
    <t>Kiểm tra chức năng Lọc theo Khoảng thời gian</t>
  </si>
  <si>
    <t>1. Truy cập vào trang theo dõi hoạt động
2. Chọn ngày bắt đầu
3. Chọn ngày kết thúc
4. Nhấn "Lọc"</t>
  </si>
  <si>
    <t>Truy cập vào hệ thống</t>
  </si>
  <si>
    <t>Chỉ các hoạt động diễn ra từ ngày bắt đầu đến ngày kết thúc được hiển thị</t>
  </si>
  <si>
    <t>Kiểm tra chức năng Lọc theo Danh mục</t>
  </si>
  <si>
    <t>1. Truy cập vào trang theo dõi hoạt động
2. Chọn danh mục cần lọc
3. Nhấn "Lọc"</t>
  </si>
  <si>
    <t>Chỉ các hoạt động của danh mục đó được hiển thị</t>
  </si>
  <si>
    <t>Kiểm tra lọc ngày không hợp lệ</t>
  </si>
  <si>
    <t>1. Truy cập vào trang theo dõi hoạt động
2. Chọn ngày bắt đầu là 15/04/2026
3. Chọn ngày kết thúc là 10/04/2026
3. Nhấn "Lọc"</t>
  </si>
  <si>
    <t>Hệ thống hiển thị thông báo lỗi "Ngày kết thúc không được nhỏ hơn ngày bắt đầu"</t>
  </si>
  <si>
    <t>Vẫn lọc được</t>
  </si>
  <si>
    <t>Kiểm tra khi nhấn vào hoạt động của người dùng</t>
  </si>
  <si>
    <t>1. Truy cập vào trang quên mật khẩu
2. Chọn một hoạt động bất kỳ</t>
  </si>
  <si>
    <t>Hiển thị chi tiết hoạt động</t>
  </si>
  <si>
    <t>GUI-TDHD01</t>
  </si>
  <si>
    <t>GUI-TDHD02</t>
  </si>
  <si>
    <t>GUI-TDHD03</t>
  </si>
  <si>
    <t>GUI-TDHD04</t>
  </si>
  <si>
    <t>GUI-TDHD05</t>
  </si>
  <si>
    <t>FUNC-TDHD01</t>
  </si>
  <si>
    <t>FUNC-TDHD02</t>
  </si>
  <si>
    <t>FUNC-TDHD03</t>
  </si>
  <si>
    <t>FUNC-TDHD04</t>
  </si>
  <si>
    <t>FUNC-TDHD05</t>
  </si>
  <si>
    <t>FUNC-TDHD06</t>
  </si>
  <si>
    <t>FUNC-TDHD07</t>
  </si>
  <si>
    <t>Fail</t>
  </si>
  <si>
    <t>Textbox nhận dữ liệu, hiển thị ngày được chọn</t>
  </si>
  <si>
    <t>Textbox nhận dữ liệu,  hiển thị ngày được chọn</t>
  </si>
  <si>
    <t>Icon: enable                                
Click responsive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</si>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</sst>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0">
    <font>
      <sz val="11"/>
      <color theme="1"/>
      <name val="Calibri"/>
      <family val="2"/>
      <scheme val="minor"/>
    </font>
    <font>
      <sz val="11"/>
      <name val="ＭＳ Ｐゴシック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24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scheme val="minor"/>
    </font>
    <font>
      <sz val="13"/>
      <color rgb="FF00000A"/>
      <name val="Times New Roman"/>
      <family val="1"/>
    </font>
    <font>
      <sz val="13"/>
      <color indexed="8"/>
      <name val="Times New Roman"/>
      <family val="1"/>
    </font>
    <font>
      <b/>
      <sz val="13"/>
      <color indexed="9"/>
      <name val="Times New Roman"/>
      <family val="1"/>
    </font>
    <font>
      <sz val="13"/>
      <color indexed="63"/>
      <name val="Times New Roman"/>
      <family val="1"/>
    </font>
    <font>
      <sz val="10"/>
      <name val="Arial2"/>
    </font>
    <font>
      <b/>
      <sz val="13"/>
      <color rgb="FFFFFFFF"/>
      <name val="Times New Roman"/>
      <family val="1"/>
    </font>
    <font>
      <sz val="13"/>
      <color rgb="FFC00000"/>
      <name val="Times New Roman"/>
      <family val="1"/>
    </font>
    <font>
      <b/>
      <sz val="13"/>
      <color theme="0"/>
      <name val="Times New Roman"/>
      <family val="1"/>
    </font>
    <font>
      <sz val="13"/>
      <color theme="1"/>
      <name val="Time new romand"/>
    </font>
    <font>
      <sz val="13"/>
      <color theme="1"/>
      <name val=" times new romand"/>
    </font>
    <font>
      <sz val="13"/>
      <color theme="1"/>
      <name val="Time new ronamd"/>
    </font>
  </fonts>
  <fills count="11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3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1"/>
        <bgColor indexed="38"/>
      </patternFill>
    </fill>
    <fill>
      <patternFill patternType="solid">
        <fgColor rgb="FFFF0000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Border="0" applyProtection="0">
      <alignment vertical="center"/>
    </xf>
  </cellStyleXfs>
  <cellXfs count="79">
    <xf numFmtId="0" fontId="0" fillId="0" borderId="0" xfId="0"/>
    <xf numFmtId="0" fontId="4" fillId="0" borderId="4" xfId="0" applyFont="1" applyBorder="1" applyAlignment="1">
      <alignment horizontal="left" vertical="top" wrapText="1"/>
    </xf>
    <xf numFmtId="0" fontId="4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vertical="top"/>
    </xf>
    <xf numFmtId="0" fontId="9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0" borderId="0" xfId="0" applyFont="1"/>
    <xf numFmtId="14" fontId="7" fillId="0" borderId="4" xfId="0" applyNumberFormat="1" applyFont="1" applyBorder="1" applyAlignment="1">
      <alignment horizontal="center" vertical="top"/>
    </xf>
    <xf numFmtId="0" fontId="10" fillId="4" borderId="4" xfId="0" applyFont="1" applyFill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164" fontId="11" fillId="9" borderId="4" xfId="0" applyNumberFormat="1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top" wrapText="1"/>
    </xf>
    <xf numFmtId="164" fontId="2" fillId="0" borderId="0" xfId="0" applyNumberFormat="1" applyFont="1"/>
    <xf numFmtId="0" fontId="12" fillId="0" borderId="0" xfId="0" applyFont="1"/>
    <xf numFmtId="0" fontId="3" fillId="0" borderId="0" xfId="0" applyFont="1"/>
    <xf numFmtId="0" fontId="2" fillId="0" borderId="4" xfId="2" applyFont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4" fillId="2" borderId="4" xfId="0" applyFont="1" applyFill="1" applyBorder="1" applyAlignment="1">
      <alignment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6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14" fontId="4" fillId="0" borderId="4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14" fontId="4" fillId="0" borderId="4" xfId="0" applyNumberFormat="1" applyFont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11" fillId="9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5" borderId="1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3">
    <cellStyle name="Normal" xfId="0" builtinId="0"/>
    <cellStyle name="Normal 10" xfId="2" xr:uid="{00000000-0005-0000-0000-000001000000}"/>
    <cellStyle name="Normal_Sheet1" xfId="1" xr:uid="{00000000-0005-0000-0000-00000200000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112058</xdr:rowOff>
    </xdr:from>
    <xdr:to>
      <xdr:col>5</xdr:col>
      <xdr:colOff>1160554</xdr:colOff>
      <xdr:row>28</xdr:row>
      <xdr:rowOff>161436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6617"/>
          <a:ext cx="8562228" cy="44308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91489</xdr:rowOff>
    </xdr:from>
    <xdr:to>
      <xdr:col>5</xdr:col>
      <xdr:colOff>2310731</xdr:colOff>
      <xdr:row>27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139239"/>
          <a:ext cx="8730580" cy="41071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29043</xdr:rowOff>
    </xdr:from>
    <xdr:to>
      <xdr:col>4</xdr:col>
      <xdr:colOff>491378</xdr:colOff>
      <xdr:row>5</xdr:row>
      <xdr:rowOff>5197851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7268"/>
          <a:ext cx="10330703" cy="5168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29043</xdr:rowOff>
    </xdr:from>
    <xdr:to>
      <xdr:col>4</xdr:col>
      <xdr:colOff>491378</xdr:colOff>
      <xdr:row>5</xdr:row>
      <xdr:rowOff>5197851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7268"/>
          <a:ext cx="10330703" cy="5168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193104</xdr:colOff>
      <xdr:row>5</xdr:row>
      <xdr:rowOff>132587</xdr:rowOff>
    </xdr:from>
    <xdr:to>
      <xdr:col>3</xdr:col>
      <xdr:colOff>1792518</xdr:colOff>
      <xdr:row>5</xdr:row>
      <xdr:rowOff>5105331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5211" y="1211693"/>
          <a:ext cx="6449325" cy="4972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47446</xdr:rowOff>
    </xdr:from>
    <xdr:to>
      <xdr:col>4</xdr:col>
      <xdr:colOff>1197429</xdr:colOff>
      <xdr:row>5</xdr:row>
      <xdr:rowOff>5164465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671"/>
          <a:ext cx="8950779" cy="51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78" workbookViewId="0">
      <selection activeCell="C7" sqref="C7:C10"/>
    </sheetView>
  </sheetViews>
  <sheetFormatPr defaultRowHeight="15.05"/>
  <cols>
    <col min="1" max="1" width="14.33203125" bestFit="1" customWidth="1"/>
    <col min="2" max="2" width="41.33203125" customWidth="1"/>
    <col min="3" max="3" width="38.109375" customWidth="1"/>
    <col min="4" max="4" width="13.6640625" customWidth="1"/>
    <col min="5" max="5" width="14" customWidth="1"/>
  </cols>
  <sheetData>
    <row r="1" spans="1:5" ht="15.05" customHeight="1">
      <c r="A1" s="52" t="s">
        <v>41</v>
      </c>
      <c r="B1" s="53"/>
      <c r="C1" s="53"/>
      <c r="D1" s="53"/>
      <c r="E1" s="53"/>
    </row>
    <row r="2" spans="1:5" ht="11.3" customHeight="1">
      <c r="A2" s="54"/>
      <c r="B2" s="55"/>
      <c r="C2" s="55"/>
      <c r="D2" s="55"/>
      <c r="E2" s="55"/>
    </row>
    <row r="3" spans="1:5" ht="42.75" customHeight="1">
      <c r="A3" s="56" t="s">
        <v>42</v>
      </c>
      <c r="B3" s="56"/>
      <c r="C3" s="56"/>
      <c r="D3" s="56"/>
      <c r="E3" s="56"/>
    </row>
    <row r="4" spans="1:5">
      <c r="A4" s="56"/>
      <c r="B4" s="56"/>
      <c r="C4" s="56"/>
      <c r="D4" s="56"/>
      <c r="E4" s="56"/>
    </row>
    <row r="5" spans="1:5" ht="38.200000000000003" customHeight="1">
      <c r="A5" s="6" t="s">
        <v>0</v>
      </c>
      <c r="B5" s="57" t="s">
        <v>24</v>
      </c>
      <c r="C5" s="58"/>
      <c r="D5" s="58"/>
      <c r="E5" s="59"/>
    </row>
    <row r="6" spans="1:5" ht="33.85">
      <c r="A6" s="7" t="s">
        <v>1</v>
      </c>
      <c r="B6" s="7" t="s">
        <v>2</v>
      </c>
      <c r="C6" s="7" t="s">
        <v>3</v>
      </c>
      <c r="D6" s="7" t="s">
        <v>25</v>
      </c>
      <c r="E6" s="7" t="s">
        <v>4</v>
      </c>
    </row>
    <row r="7" spans="1:5" ht="16.899999999999999">
      <c r="A7" s="3">
        <v>1</v>
      </c>
      <c r="B7" s="37" t="s">
        <v>46</v>
      </c>
      <c r="C7" s="37" t="s">
        <v>46</v>
      </c>
      <c r="D7" s="3">
        <v>47</v>
      </c>
      <c r="E7" s="50" t="s">
        <v>26</v>
      </c>
    </row>
    <row r="8" spans="1:5" ht="16.899999999999999">
      <c r="A8" s="8">
        <v>2</v>
      </c>
      <c r="B8" s="37" t="s">
        <v>45</v>
      </c>
      <c r="C8" s="9" t="s">
        <v>45</v>
      </c>
      <c r="D8" s="3">
        <v>39</v>
      </c>
      <c r="E8" s="51"/>
    </row>
    <row r="9" spans="1:5" ht="16.899999999999999">
      <c r="A9" s="3">
        <v>3</v>
      </c>
      <c r="B9" s="37" t="s">
        <v>43</v>
      </c>
      <c r="C9" s="9" t="s">
        <v>43</v>
      </c>
      <c r="D9" s="3">
        <v>26</v>
      </c>
      <c r="E9" s="50" t="s">
        <v>23</v>
      </c>
    </row>
    <row r="10" spans="1:5" ht="16.899999999999999">
      <c r="A10" s="8">
        <v>4</v>
      </c>
      <c r="B10" s="37" t="s">
        <v>44</v>
      </c>
      <c r="C10" s="37" t="s">
        <v>44</v>
      </c>
      <c r="D10" s="3">
        <v>19</v>
      </c>
      <c r="E10" s="51"/>
    </row>
    <row r="11" spans="1:5" ht="16.899999999999999">
      <c r="D11" s="2">
        <f>+SUM(D7:D10)</f>
        <v>131</v>
      </c>
    </row>
    <row r="12" spans="1:5" ht="16.899999999999999">
      <c r="B12" s="4"/>
      <c r="C12" s="4"/>
      <c r="D12" s="4"/>
      <c r="E12" s="5"/>
    </row>
    <row r="13" spans="1:5" ht="16.899999999999999">
      <c r="B13" s="4"/>
      <c r="C13" s="4"/>
      <c r="D13" s="4"/>
      <c r="E13" s="5"/>
    </row>
  </sheetData>
  <mergeCells count="5">
    <mergeCell ref="E7:E8"/>
    <mergeCell ref="E9:E10"/>
    <mergeCell ref="A1:E2"/>
    <mergeCell ref="A3:E4"/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"/>
  <sheetViews>
    <sheetView topLeftCell="A25" zoomScale="43" zoomScaleNormal="70" workbookViewId="0">
      <selection activeCell="O56" sqref="O56"/>
    </sheetView>
  </sheetViews>
  <sheetFormatPr defaultRowHeight="15.05"/>
  <cols>
    <col min="1" max="1" width="15.33203125" customWidth="1"/>
    <col min="2" max="2" width="30" customWidth="1"/>
    <col min="3" max="3" width="22.77734375" customWidth="1"/>
    <col min="4" max="5" width="20.6640625" customWidth="1"/>
    <col min="6" max="6" width="38.109375" customWidth="1"/>
    <col min="8" max="8" width="12.88671875" customWidth="1"/>
    <col min="11" max="11" width="12.21875" bestFit="1" customWidth="1"/>
  </cols>
  <sheetData>
    <row r="1" spans="1:6" ht="16.899999999999999">
      <c r="A1" s="38" t="s">
        <v>5</v>
      </c>
      <c r="B1" s="63" t="s">
        <v>47</v>
      </c>
      <c r="C1" s="63"/>
      <c r="D1" s="63"/>
      <c r="E1" s="63"/>
      <c r="F1" s="63"/>
    </row>
    <row r="2" spans="1:6" ht="16.899999999999999">
      <c r="A2" s="38" t="s">
        <v>6</v>
      </c>
      <c r="B2" s="64" t="s">
        <v>46</v>
      </c>
      <c r="C2" s="64"/>
      <c r="D2" s="64"/>
      <c r="E2" s="64"/>
      <c r="F2" s="64"/>
    </row>
    <row r="3" spans="1:6" ht="16.899999999999999">
      <c r="A3" s="39"/>
      <c r="B3" s="40" t="s">
        <v>7</v>
      </c>
      <c r="C3" s="40" t="s">
        <v>8</v>
      </c>
      <c r="D3" s="40" t="s">
        <v>9</v>
      </c>
      <c r="E3" s="41" t="s">
        <v>48</v>
      </c>
      <c r="F3" s="40" t="s">
        <v>49</v>
      </c>
    </row>
    <row r="4" spans="1:6" ht="16.899999999999999">
      <c r="A4" s="42" t="s">
        <v>10</v>
      </c>
      <c r="B4" s="39">
        <v>32</v>
      </c>
      <c r="C4" s="39">
        <v>4</v>
      </c>
      <c r="D4" s="39">
        <v>0</v>
      </c>
      <c r="E4" s="39">
        <v>0</v>
      </c>
      <c r="F4" s="39">
        <v>32</v>
      </c>
    </row>
    <row r="5" spans="1:6" ht="16.899999999999999">
      <c r="A5" s="42" t="s">
        <v>11</v>
      </c>
      <c r="B5" s="39">
        <v>15</v>
      </c>
      <c r="C5" s="39">
        <v>0</v>
      </c>
      <c r="D5" s="39">
        <v>0</v>
      </c>
      <c r="E5" s="43">
        <v>0</v>
      </c>
      <c r="F5" s="39">
        <v>15</v>
      </c>
    </row>
    <row r="30" spans="1:13" ht="16.899999999999999">
      <c r="A30" s="62" t="s">
        <v>12</v>
      </c>
      <c r="B30" s="62" t="s">
        <v>4</v>
      </c>
      <c r="C30" s="62" t="s">
        <v>35</v>
      </c>
      <c r="D30" s="62" t="s">
        <v>13</v>
      </c>
      <c r="E30" s="62" t="s">
        <v>14</v>
      </c>
      <c r="F30" s="62" t="s">
        <v>15</v>
      </c>
      <c r="G30" s="62" t="s">
        <v>16</v>
      </c>
      <c r="H30" s="62"/>
      <c r="I30" s="62"/>
      <c r="J30" s="62" t="s">
        <v>16</v>
      </c>
      <c r="K30" s="62"/>
      <c r="L30" s="62"/>
      <c r="M30" s="62" t="s">
        <v>17</v>
      </c>
    </row>
    <row r="31" spans="1:13" ht="16.899999999999999">
      <c r="A31" s="62"/>
      <c r="B31" s="62"/>
      <c r="C31" s="62"/>
      <c r="D31" s="62"/>
      <c r="E31" s="62"/>
      <c r="F31" s="62"/>
      <c r="G31" s="62" t="s">
        <v>18</v>
      </c>
      <c r="H31" s="62"/>
      <c r="I31" s="62"/>
      <c r="J31" s="62" t="s">
        <v>19</v>
      </c>
      <c r="K31" s="62"/>
      <c r="L31" s="62"/>
      <c r="M31" s="62"/>
    </row>
    <row r="32" spans="1:13" ht="50.75">
      <c r="A32" s="62"/>
      <c r="B32" s="62"/>
      <c r="C32" s="62"/>
      <c r="D32" s="62"/>
      <c r="E32" s="62"/>
      <c r="F32" s="62"/>
      <c r="G32" s="24" t="s">
        <v>20</v>
      </c>
      <c r="H32" s="23" t="s">
        <v>21</v>
      </c>
      <c r="I32" s="34" t="s">
        <v>22</v>
      </c>
      <c r="J32" s="24" t="s">
        <v>20</v>
      </c>
      <c r="K32" s="23" t="s">
        <v>21</v>
      </c>
      <c r="L32" s="34" t="s">
        <v>22</v>
      </c>
      <c r="M32" s="62"/>
    </row>
    <row r="33" spans="1:13" ht="16.899999999999999">
      <c r="A33" s="60" t="s">
        <v>50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</row>
    <row r="34" spans="1:13" ht="33.85">
      <c r="A34" s="22" t="s">
        <v>131</v>
      </c>
      <c r="B34" s="18" t="s">
        <v>51</v>
      </c>
      <c r="C34" s="12"/>
      <c r="D34" s="12"/>
      <c r="E34" s="21" t="s">
        <v>52</v>
      </c>
      <c r="F34" s="21" t="s">
        <v>53</v>
      </c>
      <c r="G34" s="33" t="s">
        <v>40</v>
      </c>
      <c r="H34" s="36" t="s">
        <v>54</v>
      </c>
      <c r="I34" s="35" t="s">
        <v>26</v>
      </c>
      <c r="J34" s="14"/>
      <c r="K34" s="20"/>
      <c r="L34" s="13"/>
      <c r="M34" s="12"/>
    </row>
    <row r="35" spans="1:13" ht="16.899999999999999">
      <c r="A35" s="22" t="s">
        <v>132</v>
      </c>
      <c r="B35" s="44" t="s">
        <v>55</v>
      </c>
      <c r="C35" s="12"/>
      <c r="D35" s="12"/>
      <c r="E35" s="21" t="s">
        <v>56</v>
      </c>
      <c r="F35" s="21" t="s">
        <v>56</v>
      </c>
      <c r="G35" s="33" t="s">
        <v>40</v>
      </c>
      <c r="H35" s="36" t="s">
        <v>54</v>
      </c>
      <c r="I35" s="35" t="s">
        <v>26</v>
      </c>
      <c r="J35" s="14"/>
      <c r="K35" s="20"/>
      <c r="L35" s="13"/>
      <c r="M35" s="12"/>
    </row>
    <row r="36" spans="1:13" ht="16.899999999999999">
      <c r="A36" s="22" t="s">
        <v>133</v>
      </c>
      <c r="B36" s="18" t="s">
        <v>57</v>
      </c>
      <c r="C36" s="12"/>
      <c r="D36" s="12"/>
      <c r="E36" s="21" t="s">
        <v>56</v>
      </c>
      <c r="F36" s="21" t="s">
        <v>56</v>
      </c>
      <c r="G36" s="33" t="s">
        <v>40</v>
      </c>
      <c r="H36" s="36" t="s">
        <v>54</v>
      </c>
      <c r="I36" s="35" t="s">
        <v>26</v>
      </c>
      <c r="J36" s="14"/>
      <c r="K36" s="20"/>
      <c r="L36" s="13"/>
      <c r="M36" s="12"/>
    </row>
    <row r="37" spans="1:13" ht="50.75">
      <c r="A37" s="22" t="s">
        <v>134</v>
      </c>
      <c r="B37" s="45" t="s">
        <v>58</v>
      </c>
      <c r="C37" s="12"/>
      <c r="D37" s="12"/>
      <c r="E37" s="21" t="s">
        <v>59</v>
      </c>
      <c r="F37" s="21" t="s">
        <v>60</v>
      </c>
      <c r="G37" s="33" t="s">
        <v>40</v>
      </c>
      <c r="H37" s="36" t="s">
        <v>54</v>
      </c>
      <c r="I37" s="35" t="s">
        <v>26</v>
      </c>
      <c r="J37" s="14"/>
      <c r="K37" s="20"/>
      <c r="L37" s="13"/>
      <c r="M37" s="12"/>
    </row>
    <row r="38" spans="1:13" ht="33.85">
      <c r="A38" s="22" t="s">
        <v>135</v>
      </c>
      <c r="B38" s="18" t="s">
        <v>61</v>
      </c>
      <c r="C38" s="12"/>
      <c r="D38" s="12"/>
      <c r="E38" s="21" t="s">
        <v>62</v>
      </c>
      <c r="F38" s="21" t="s">
        <v>63</v>
      </c>
      <c r="G38" s="33" t="s">
        <v>40</v>
      </c>
      <c r="H38" s="36" t="s">
        <v>54</v>
      </c>
      <c r="I38" s="35" t="s">
        <v>26</v>
      </c>
      <c r="J38" s="14"/>
      <c r="K38" s="20"/>
      <c r="L38" s="13"/>
      <c r="M38" s="12"/>
    </row>
    <row r="39" spans="1:13" ht="33.85">
      <c r="A39" s="22" t="s">
        <v>136</v>
      </c>
      <c r="B39" s="18" t="s">
        <v>64</v>
      </c>
      <c r="C39" s="12"/>
      <c r="D39" s="12"/>
      <c r="E39" s="21" t="s">
        <v>62</v>
      </c>
      <c r="F39" s="21" t="s">
        <v>63</v>
      </c>
      <c r="G39" s="33" t="s">
        <v>40</v>
      </c>
      <c r="H39" s="36" t="s">
        <v>54</v>
      </c>
      <c r="I39" s="35" t="s">
        <v>26</v>
      </c>
      <c r="J39" s="14"/>
      <c r="K39" s="20"/>
      <c r="L39" s="13"/>
      <c r="M39" s="12"/>
    </row>
    <row r="40" spans="1:13" ht="33.85">
      <c r="A40" s="22" t="s">
        <v>137</v>
      </c>
      <c r="B40" s="46" t="s">
        <v>65</v>
      </c>
      <c r="C40" s="12"/>
      <c r="D40" s="12"/>
      <c r="E40" s="21" t="s">
        <v>62</v>
      </c>
      <c r="F40" s="21" t="s">
        <v>63</v>
      </c>
      <c r="G40" s="33" t="s">
        <v>40</v>
      </c>
      <c r="H40" s="36" t="s">
        <v>54</v>
      </c>
      <c r="I40" s="35" t="s">
        <v>26</v>
      </c>
      <c r="J40" s="14"/>
      <c r="K40" s="20"/>
      <c r="L40" s="13"/>
      <c r="M40" s="12"/>
    </row>
    <row r="41" spans="1:13" ht="50.75">
      <c r="A41" s="22" t="s">
        <v>138</v>
      </c>
      <c r="B41" s="18" t="s">
        <v>66</v>
      </c>
      <c r="C41" s="12"/>
      <c r="D41" s="12"/>
      <c r="E41" s="21" t="s">
        <v>59</v>
      </c>
      <c r="F41" s="21" t="s">
        <v>67</v>
      </c>
      <c r="G41" s="33" t="s">
        <v>40</v>
      </c>
      <c r="H41" s="36" t="s">
        <v>54</v>
      </c>
      <c r="I41" s="35" t="s">
        <v>26</v>
      </c>
      <c r="J41" s="14"/>
      <c r="K41" s="20"/>
      <c r="L41" s="13"/>
      <c r="M41" s="12"/>
    </row>
    <row r="42" spans="1:13" ht="33.85">
      <c r="A42" s="22" t="s">
        <v>139</v>
      </c>
      <c r="B42" s="18" t="s">
        <v>68</v>
      </c>
      <c r="C42" s="12"/>
      <c r="D42" s="12"/>
      <c r="E42" s="21" t="s">
        <v>69</v>
      </c>
      <c r="F42" s="21" t="s">
        <v>69</v>
      </c>
      <c r="G42" s="33" t="s">
        <v>40</v>
      </c>
      <c r="H42" s="36" t="s">
        <v>54</v>
      </c>
      <c r="I42" s="35" t="s">
        <v>26</v>
      </c>
      <c r="J42" s="14"/>
      <c r="K42" s="20"/>
      <c r="L42" s="13"/>
      <c r="M42" s="12"/>
    </row>
    <row r="43" spans="1:13" ht="33.85">
      <c r="A43" s="22" t="s">
        <v>140</v>
      </c>
      <c r="B43" s="18" t="s">
        <v>70</v>
      </c>
      <c r="C43" s="12"/>
      <c r="D43" s="12"/>
      <c r="E43" s="21" t="s">
        <v>69</v>
      </c>
      <c r="F43" s="21" t="s">
        <v>69</v>
      </c>
      <c r="G43" s="33" t="s">
        <v>40</v>
      </c>
      <c r="H43" s="36" t="s">
        <v>54</v>
      </c>
      <c r="I43" s="35" t="s">
        <v>26</v>
      </c>
      <c r="J43" s="14"/>
      <c r="K43" s="20"/>
      <c r="L43" s="13"/>
      <c r="M43" s="12"/>
    </row>
    <row r="44" spans="1:13" ht="33.85">
      <c r="A44" s="22" t="s">
        <v>141</v>
      </c>
      <c r="B44" s="18" t="s">
        <v>71</v>
      </c>
      <c r="C44" s="12"/>
      <c r="D44" s="12"/>
      <c r="E44" s="21" t="s">
        <v>69</v>
      </c>
      <c r="F44" s="21" t="s">
        <v>69</v>
      </c>
      <c r="G44" s="33" t="s">
        <v>40</v>
      </c>
      <c r="H44" s="36" t="s">
        <v>54</v>
      </c>
      <c r="I44" s="35" t="s">
        <v>26</v>
      </c>
      <c r="J44" s="14"/>
      <c r="K44" s="20"/>
      <c r="L44" s="13"/>
      <c r="M44" s="12"/>
    </row>
    <row r="45" spans="1:13" ht="33.85">
      <c r="A45" s="22" t="s">
        <v>142</v>
      </c>
      <c r="B45" s="18" t="s">
        <v>72</v>
      </c>
      <c r="C45" s="12"/>
      <c r="D45" s="12"/>
      <c r="E45" s="21" t="s">
        <v>73</v>
      </c>
      <c r="F45" s="21" t="s">
        <v>315</v>
      </c>
      <c r="G45" s="33" t="s">
        <v>40</v>
      </c>
      <c r="H45" s="36" t="s">
        <v>54</v>
      </c>
      <c r="I45" s="35" t="s">
        <v>26</v>
      </c>
      <c r="J45" s="14"/>
      <c r="K45" s="20"/>
      <c r="L45" s="13"/>
      <c r="M45" s="12"/>
    </row>
    <row r="46" spans="1:13" ht="50.75">
      <c r="A46" s="22" t="s">
        <v>143</v>
      </c>
      <c r="B46" s="18" t="s">
        <v>74</v>
      </c>
      <c r="C46" s="12"/>
      <c r="D46" s="12"/>
      <c r="E46" s="21" t="s">
        <v>75</v>
      </c>
      <c r="F46" s="21" t="s">
        <v>75</v>
      </c>
      <c r="G46" s="33" t="s">
        <v>40</v>
      </c>
      <c r="H46" s="36" t="s">
        <v>54</v>
      </c>
      <c r="I46" s="35" t="s">
        <v>26</v>
      </c>
      <c r="J46" s="14"/>
      <c r="K46" s="20"/>
      <c r="L46" s="13"/>
      <c r="M46" s="12"/>
    </row>
    <row r="47" spans="1:13" ht="50.75">
      <c r="A47" s="22" t="s">
        <v>144</v>
      </c>
      <c r="B47" s="18" t="s">
        <v>76</v>
      </c>
      <c r="C47" s="12"/>
      <c r="D47" s="12"/>
      <c r="E47" s="21" t="s">
        <v>75</v>
      </c>
      <c r="F47" s="21" t="s">
        <v>75</v>
      </c>
      <c r="G47" s="33" t="s">
        <v>40</v>
      </c>
      <c r="H47" s="36" t="s">
        <v>54</v>
      </c>
      <c r="I47" s="35" t="s">
        <v>26</v>
      </c>
      <c r="J47" s="14"/>
      <c r="K47" s="20"/>
      <c r="L47" s="13"/>
      <c r="M47" s="12"/>
    </row>
    <row r="48" spans="1:13" ht="50.75">
      <c r="A48" s="22" t="s">
        <v>145</v>
      </c>
      <c r="B48" s="18" t="s">
        <v>77</v>
      </c>
      <c r="C48" s="12"/>
      <c r="D48" s="12"/>
      <c r="E48" s="21" t="s">
        <v>75</v>
      </c>
      <c r="F48" s="21" t="s">
        <v>75</v>
      </c>
      <c r="G48" s="33" t="s">
        <v>40</v>
      </c>
      <c r="H48" s="36" t="s">
        <v>54</v>
      </c>
      <c r="I48" s="35" t="s">
        <v>26</v>
      </c>
      <c r="J48" s="14"/>
      <c r="K48" s="20"/>
      <c r="L48" s="13"/>
      <c r="M48" s="12"/>
    </row>
    <row r="49" spans="1:13" ht="50.75">
      <c r="A49" s="22" t="s">
        <v>146</v>
      </c>
      <c r="B49" s="18" t="s">
        <v>76</v>
      </c>
      <c r="C49" s="12"/>
      <c r="D49" s="12"/>
      <c r="E49" s="21" t="s">
        <v>75</v>
      </c>
      <c r="F49" s="21" t="s">
        <v>78</v>
      </c>
      <c r="G49" s="33" t="s">
        <v>40</v>
      </c>
      <c r="H49" s="36" t="s">
        <v>54</v>
      </c>
      <c r="I49" s="35" t="s">
        <v>26</v>
      </c>
      <c r="J49" s="14"/>
      <c r="K49" s="20"/>
      <c r="L49" s="13"/>
      <c r="M49" s="12"/>
    </row>
    <row r="50" spans="1:13" ht="50.75">
      <c r="A50" s="22" t="s">
        <v>147</v>
      </c>
      <c r="B50" s="18" t="s">
        <v>76</v>
      </c>
      <c r="C50" s="12"/>
      <c r="D50" s="12"/>
      <c r="E50" s="21" t="s">
        <v>75</v>
      </c>
      <c r="F50" s="21" t="s">
        <v>78</v>
      </c>
      <c r="G50" s="33" t="s">
        <v>40</v>
      </c>
      <c r="H50" s="36" t="s">
        <v>54</v>
      </c>
      <c r="I50" s="35" t="s">
        <v>26</v>
      </c>
      <c r="J50" s="14"/>
      <c r="K50" s="20"/>
      <c r="L50" s="13"/>
      <c r="M50" s="12"/>
    </row>
    <row r="52" spans="1:13" ht="16.899999999999999">
      <c r="A52" s="61" t="s">
        <v>79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</row>
    <row r="53" spans="1:13" ht="50.75">
      <c r="A53" s="18" t="s">
        <v>34</v>
      </c>
      <c r="B53" s="17" t="s">
        <v>80</v>
      </c>
      <c r="C53" s="17" t="s">
        <v>81</v>
      </c>
      <c r="D53" s="16" t="s">
        <v>82</v>
      </c>
      <c r="E53" s="15" t="s">
        <v>83</v>
      </c>
      <c r="F53" s="15" t="s">
        <v>83</v>
      </c>
      <c r="G53" s="33" t="s">
        <v>40</v>
      </c>
      <c r="H53" s="36" t="s">
        <v>54</v>
      </c>
      <c r="I53" s="35" t="s">
        <v>26</v>
      </c>
      <c r="J53" s="33" t="s">
        <v>40</v>
      </c>
      <c r="K53" s="36" t="s">
        <v>54</v>
      </c>
      <c r="L53" s="13"/>
      <c r="M53" s="12"/>
    </row>
    <row r="54" spans="1:13" ht="50.75">
      <c r="A54" s="18" t="s">
        <v>33</v>
      </c>
      <c r="B54" s="18" t="s">
        <v>84</v>
      </c>
      <c r="C54" s="17" t="s">
        <v>85</v>
      </c>
      <c r="D54" s="16" t="s">
        <v>82</v>
      </c>
      <c r="E54" s="15" t="s">
        <v>313</v>
      </c>
      <c r="F54" s="15" t="s">
        <v>86</v>
      </c>
      <c r="G54" s="33" t="s">
        <v>312</v>
      </c>
      <c r="H54" s="36" t="s">
        <v>54</v>
      </c>
      <c r="I54" s="35" t="s">
        <v>26</v>
      </c>
      <c r="J54" s="33" t="s">
        <v>40</v>
      </c>
      <c r="K54" s="36" t="s">
        <v>54</v>
      </c>
      <c r="L54" s="13"/>
      <c r="M54" s="12"/>
    </row>
    <row r="55" spans="1:13" ht="50.75">
      <c r="A55" s="18" t="s">
        <v>32</v>
      </c>
      <c r="B55" s="18" t="s">
        <v>87</v>
      </c>
      <c r="C55" s="17" t="s">
        <v>88</v>
      </c>
      <c r="D55" s="16" t="s">
        <v>82</v>
      </c>
      <c r="E55" s="15" t="s">
        <v>314</v>
      </c>
      <c r="F55" s="15" t="s">
        <v>86</v>
      </c>
      <c r="G55" s="33" t="s">
        <v>312</v>
      </c>
      <c r="H55" s="36" t="s">
        <v>54</v>
      </c>
      <c r="I55" s="35" t="s">
        <v>26</v>
      </c>
      <c r="J55" s="33" t="s">
        <v>40</v>
      </c>
      <c r="K55" s="36" t="s">
        <v>54</v>
      </c>
      <c r="L55" s="13"/>
      <c r="M55" s="12"/>
    </row>
    <row r="56" spans="1:13" ht="50.75">
      <c r="A56" s="18" t="s">
        <v>31</v>
      </c>
      <c r="B56" s="17" t="s">
        <v>89</v>
      </c>
      <c r="C56" s="15" t="s">
        <v>90</v>
      </c>
      <c r="D56" s="16" t="s">
        <v>82</v>
      </c>
      <c r="E56" s="15"/>
      <c r="F56" s="15" t="s">
        <v>91</v>
      </c>
      <c r="G56" s="33" t="s">
        <v>312</v>
      </c>
      <c r="H56" s="36" t="s">
        <v>54</v>
      </c>
      <c r="I56" s="35" t="s">
        <v>26</v>
      </c>
      <c r="J56" s="33" t="s">
        <v>40</v>
      </c>
      <c r="K56" s="36" t="s">
        <v>54</v>
      </c>
      <c r="L56" s="13"/>
      <c r="M56" s="12"/>
    </row>
    <row r="57" spans="1:13" ht="50.75">
      <c r="A57" s="18" t="s">
        <v>30</v>
      </c>
      <c r="B57" s="17" t="s">
        <v>92</v>
      </c>
      <c r="C57" s="17" t="s">
        <v>93</v>
      </c>
      <c r="D57" s="16" t="s">
        <v>82</v>
      </c>
      <c r="E57" s="15" t="s">
        <v>94</v>
      </c>
      <c r="F57" s="15" t="s">
        <v>94</v>
      </c>
      <c r="G57" s="33" t="s">
        <v>40</v>
      </c>
      <c r="H57" s="36" t="s">
        <v>54</v>
      </c>
      <c r="I57" s="35" t="s">
        <v>26</v>
      </c>
      <c r="J57" s="33" t="s">
        <v>40</v>
      </c>
      <c r="K57" s="36" t="s">
        <v>54</v>
      </c>
      <c r="L57" s="13"/>
      <c r="M57" s="12"/>
    </row>
    <row r="58" spans="1:13" ht="50.75">
      <c r="A58" s="18" t="s">
        <v>29</v>
      </c>
      <c r="B58" s="17" t="s">
        <v>95</v>
      </c>
      <c r="C58" s="17" t="s">
        <v>96</v>
      </c>
      <c r="D58" s="16" t="s">
        <v>82</v>
      </c>
      <c r="E58" s="15" t="s">
        <v>97</v>
      </c>
      <c r="F58" s="15" t="s">
        <v>97</v>
      </c>
      <c r="G58" s="33" t="s">
        <v>40</v>
      </c>
      <c r="H58" s="36" t="s">
        <v>54</v>
      </c>
      <c r="I58" s="35" t="s">
        <v>26</v>
      </c>
      <c r="J58" s="33" t="s">
        <v>40</v>
      </c>
      <c r="K58" s="36" t="s">
        <v>54</v>
      </c>
      <c r="L58" s="13"/>
      <c r="M58" s="12"/>
    </row>
    <row r="59" spans="1:13" ht="72.650000000000006" customHeight="1">
      <c r="A59" s="18" t="s">
        <v>28</v>
      </c>
      <c r="B59" s="18" t="s">
        <v>98</v>
      </c>
      <c r="C59" s="17" t="s">
        <v>99</v>
      </c>
      <c r="D59" s="16" t="s">
        <v>27</v>
      </c>
      <c r="E59" s="15" t="s">
        <v>100</v>
      </c>
      <c r="F59" s="15" t="s">
        <v>100</v>
      </c>
      <c r="G59" s="33" t="s">
        <v>40</v>
      </c>
      <c r="H59" s="36" t="s">
        <v>54</v>
      </c>
      <c r="I59" s="35" t="s">
        <v>26</v>
      </c>
      <c r="J59" s="33" t="s">
        <v>40</v>
      </c>
      <c r="K59" s="36" t="s">
        <v>54</v>
      </c>
      <c r="L59" s="13"/>
      <c r="M59" s="12"/>
    </row>
    <row r="60" spans="1:13" ht="50.75">
      <c r="A60" s="18" t="s">
        <v>101</v>
      </c>
      <c r="B60" s="17" t="s">
        <v>102</v>
      </c>
      <c r="C60" s="17" t="s">
        <v>103</v>
      </c>
      <c r="D60" s="16" t="s">
        <v>82</v>
      </c>
      <c r="E60" s="15" t="s">
        <v>104</v>
      </c>
      <c r="F60" s="15" t="s">
        <v>104</v>
      </c>
      <c r="G60" s="33" t="s">
        <v>40</v>
      </c>
      <c r="H60" s="36" t="s">
        <v>54</v>
      </c>
      <c r="I60" s="35" t="s">
        <v>26</v>
      </c>
      <c r="J60" s="33" t="s">
        <v>40</v>
      </c>
      <c r="K60" s="36" t="s">
        <v>54</v>
      </c>
      <c r="L60" s="13"/>
      <c r="M60" s="12"/>
    </row>
    <row r="61" spans="1:13" ht="50.75">
      <c r="A61" s="18" t="s">
        <v>105</v>
      </c>
      <c r="B61" s="17" t="s">
        <v>106</v>
      </c>
      <c r="C61" s="17" t="s">
        <v>107</v>
      </c>
      <c r="D61" s="16" t="s">
        <v>82</v>
      </c>
      <c r="E61" s="15" t="s">
        <v>108</v>
      </c>
      <c r="F61" s="15" t="s">
        <v>108</v>
      </c>
      <c r="G61" s="33" t="s">
        <v>40</v>
      </c>
      <c r="H61" s="36" t="s">
        <v>54</v>
      </c>
      <c r="I61" s="35" t="s">
        <v>26</v>
      </c>
      <c r="J61" s="33" t="s">
        <v>40</v>
      </c>
      <c r="K61" s="36" t="s">
        <v>54</v>
      </c>
      <c r="L61" s="13"/>
      <c r="M61" s="12"/>
    </row>
    <row r="62" spans="1:13" ht="50.75">
      <c r="A62" s="18" t="s">
        <v>109</v>
      </c>
      <c r="B62" s="17" t="s">
        <v>110</v>
      </c>
      <c r="C62" s="17" t="s">
        <v>96</v>
      </c>
      <c r="D62" s="16" t="s">
        <v>82</v>
      </c>
      <c r="E62" s="15" t="s">
        <v>111</v>
      </c>
      <c r="F62" s="15" t="s">
        <v>111</v>
      </c>
      <c r="G62" s="33" t="s">
        <v>40</v>
      </c>
      <c r="H62" s="36" t="s">
        <v>54</v>
      </c>
      <c r="I62" s="35" t="s">
        <v>26</v>
      </c>
      <c r="J62" s="33" t="s">
        <v>40</v>
      </c>
      <c r="K62" s="36" t="s">
        <v>54</v>
      </c>
      <c r="L62" s="13"/>
      <c r="M62" s="12"/>
    </row>
    <row r="63" spans="1:13" ht="50.75">
      <c r="A63" s="18" t="s">
        <v>112</v>
      </c>
      <c r="B63" s="17" t="s">
        <v>113</v>
      </c>
      <c r="C63" s="17" t="s">
        <v>103</v>
      </c>
      <c r="D63" s="16" t="s">
        <v>82</v>
      </c>
      <c r="E63" s="15" t="s">
        <v>114</v>
      </c>
      <c r="F63" s="15" t="s">
        <v>114</v>
      </c>
      <c r="G63" s="33" t="s">
        <v>40</v>
      </c>
      <c r="H63" s="36" t="s">
        <v>54</v>
      </c>
      <c r="I63" s="35" t="s">
        <v>26</v>
      </c>
      <c r="J63" s="33" t="s">
        <v>40</v>
      </c>
      <c r="K63" s="36" t="s">
        <v>54</v>
      </c>
      <c r="L63" s="13"/>
      <c r="M63" s="12"/>
    </row>
    <row r="64" spans="1:13" ht="33.85">
      <c r="A64" s="18" t="s">
        <v>115</v>
      </c>
      <c r="B64" s="17" t="s">
        <v>116</v>
      </c>
      <c r="C64" s="17" t="s">
        <v>117</v>
      </c>
      <c r="D64" s="16" t="s">
        <v>82</v>
      </c>
      <c r="E64" s="15" t="s">
        <v>118</v>
      </c>
      <c r="F64" s="15" t="s">
        <v>118</v>
      </c>
      <c r="G64" s="33" t="s">
        <v>40</v>
      </c>
      <c r="H64" s="36" t="s">
        <v>54</v>
      </c>
      <c r="I64" s="35" t="s">
        <v>26</v>
      </c>
      <c r="J64" s="33" t="s">
        <v>40</v>
      </c>
      <c r="K64" s="36" t="s">
        <v>54</v>
      </c>
      <c r="L64" s="13"/>
      <c r="M64" s="12"/>
    </row>
    <row r="65" spans="1:13" ht="67.650000000000006">
      <c r="A65" s="18" t="s">
        <v>119</v>
      </c>
      <c r="B65" s="17" t="s">
        <v>120</v>
      </c>
      <c r="C65" s="17" t="s">
        <v>121</v>
      </c>
      <c r="D65" s="16" t="s">
        <v>82</v>
      </c>
      <c r="E65" s="15" t="s">
        <v>122</v>
      </c>
      <c r="F65" s="15" t="s">
        <v>122</v>
      </c>
      <c r="G65" s="33" t="s">
        <v>312</v>
      </c>
      <c r="H65" s="36" t="s">
        <v>54</v>
      </c>
      <c r="I65" s="35" t="s">
        <v>26</v>
      </c>
      <c r="J65" s="33" t="s">
        <v>40</v>
      </c>
      <c r="K65" s="36" t="s">
        <v>54</v>
      </c>
      <c r="L65" s="13"/>
      <c r="M65" s="12"/>
    </row>
    <row r="66" spans="1:13" ht="50.75">
      <c r="A66" s="18" t="s">
        <v>123</v>
      </c>
      <c r="B66" s="17" t="s">
        <v>124</v>
      </c>
      <c r="C66" s="17" t="s">
        <v>125</v>
      </c>
      <c r="D66" s="16" t="s">
        <v>82</v>
      </c>
      <c r="E66" s="15" t="s">
        <v>126</v>
      </c>
      <c r="F66" s="15" t="s">
        <v>126</v>
      </c>
      <c r="G66" s="33" t="s">
        <v>40</v>
      </c>
      <c r="H66" s="36" t="s">
        <v>54</v>
      </c>
      <c r="I66" s="35" t="s">
        <v>26</v>
      </c>
      <c r="J66" s="33" t="s">
        <v>40</v>
      </c>
      <c r="K66" s="36" t="s">
        <v>54</v>
      </c>
      <c r="L66" s="13"/>
      <c r="M66" s="12"/>
    </row>
    <row r="67" spans="1:13" ht="50.75">
      <c r="A67" s="18" t="s">
        <v>127</v>
      </c>
      <c r="B67" s="17" t="s">
        <v>128</v>
      </c>
      <c r="C67" s="17" t="s">
        <v>129</v>
      </c>
      <c r="D67" s="16" t="s">
        <v>82</v>
      </c>
      <c r="E67" s="15" t="s">
        <v>130</v>
      </c>
      <c r="F67" s="15" t="s">
        <v>130</v>
      </c>
      <c r="G67" s="33" t="s">
        <v>40</v>
      </c>
      <c r="H67" s="36" t="s">
        <v>54</v>
      </c>
      <c r="I67" s="35" t="s">
        <v>26</v>
      </c>
      <c r="J67" s="33" t="s">
        <v>40</v>
      </c>
      <c r="K67" s="36" t="s">
        <v>54</v>
      </c>
      <c r="L67" s="13"/>
      <c r="M67" s="12"/>
    </row>
  </sheetData>
  <mergeCells count="15">
    <mergeCell ref="B1:F1"/>
    <mergeCell ref="B2:F2"/>
    <mergeCell ref="A30:A32"/>
    <mergeCell ref="B30:B32"/>
    <mergeCell ref="C30:C32"/>
    <mergeCell ref="D30:D32"/>
    <mergeCell ref="E30:E32"/>
    <mergeCell ref="F30:F32"/>
    <mergeCell ref="A33:M33"/>
    <mergeCell ref="A52:M52"/>
    <mergeCell ref="G30:I30"/>
    <mergeCell ref="J30:L30"/>
    <mergeCell ref="M30:M32"/>
    <mergeCell ref="G31:I31"/>
    <mergeCell ref="J31:L31"/>
  </mergeCells>
  <phoneticPr fontId="8" type="noConversion"/>
  <conditionalFormatting sqref="G11:G16">
    <cfRule type="containsText" dxfId="47" priority="149" operator="containsText" text="Pass">
      <formula>NOT(ISERROR(SEARCH("Pass",G11)))</formula>
    </cfRule>
    <cfRule type="containsText" dxfId="46" priority="150" operator="containsText" text="Fail">
      <formula>NOT(ISERROR(SEARCH("Fail",G11)))</formula>
    </cfRule>
    <cfRule type="containsText" dxfId="45" priority="151" operator="containsText" text="Pass">
      <formula>NOT(ISERROR(SEARCH("Pass",G11)))</formula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G26">
    <cfRule type="containsText" dxfId="44" priority="161" operator="containsText" text="Pass">
      <formula>NOT(ISERROR(SEARCH("Pass",G18)))</formula>
    </cfRule>
    <cfRule type="containsText" dxfId="43" priority="162" operator="containsText" text="Fail">
      <formula>NOT(ISERROR(SEARCH("Fail",G18)))</formula>
    </cfRule>
    <cfRule type="containsText" dxfId="42" priority="163" operator="containsText" text="Pass">
      <formula>NOT(ISERROR(SEARCH("Pass",G18)))</formula>
    </cfRule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G50">
    <cfRule type="containsText" dxfId="41" priority="25" operator="containsText" text="Pass">
      <formula>NOT(ISERROR(SEARCH("Pass",G34)))</formula>
    </cfRule>
    <cfRule type="containsText" dxfId="40" priority="26" operator="containsText" text="Fail">
      <formula>NOT(ISERROR(SEARCH("Fail",G34)))</formula>
    </cfRule>
    <cfRule type="containsText" dxfId="39" priority="27" operator="containsText" text="Pass">
      <formula>NOT(ISERROR(SEARCH("Pass",G34)))</formula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3:G67">
    <cfRule type="containsText" dxfId="38" priority="5" operator="containsText" text="Pass">
      <formula>NOT(ISERROR(SEARCH("Pass",G53)))</formula>
    </cfRule>
    <cfRule type="containsText" dxfId="37" priority="6" operator="containsText" text="Fail">
      <formula>NOT(ISERROR(SEARCH("Fail",G53)))</formula>
    </cfRule>
    <cfRule type="containsText" dxfId="36" priority="7" operator="containsText" text="Pass">
      <formula>NOT(ISERROR(SEARCH("Pass",G53)))</formula>
    </cfRule>
  </conditionalFormatting>
  <conditionalFormatting sqref="G54:G5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7:G6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6:G6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3:J67">
    <cfRule type="containsText" dxfId="35" priority="1" operator="containsText" text="Pass">
      <formula>NOT(ISERROR(SEARCH("Pass",J53)))</formula>
    </cfRule>
    <cfRule type="containsText" dxfId="34" priority="2" operator="containsText" text="Fail">
      <formula>NOT(ISERROR(SEARCH("Fail",J53)))</formula>
    </cfRule>
    <cfRule type="containsText" dxfId="33" priority="3" operator="containsText" text="Pass">
      <formula>NOT(ISERROR(SEARCH("Pass",J53)))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operator="equal" allowBlank="1" showErrorMessage="1" promptTitle="dfdf" sqref="J34:J50" xr:uid="{00000000-0002-0000-0100-000000000000}">
      <formula1>"Passed,Untested,Failed,Blocked"</formula1>
      <formula2>0</formula2>
    </dataValidation>
    <dataValidation type="list" allowBlank="1" showErrorMessage="1" sqref="G34:G50 G53:G67 J53:J67" xr:uid="{A1F3F2A5-A00C-4EB5-81D5-B597FAB89172}">
      <formula1>"Pass,Fail"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"/>
  <sheetViews>
    <sheetView zoomScale="70" zoomScaleNormal="70" workbookViewId="0">
      <selection activeCell="C4" sqref="C4"/>
    </sheetView>
  </sheetViews>
  <sheetFormatPr defaultRowHeight="15.05"/>
  <cols>
    <col min="1" max="1" width="19" customWidth="1"/>
    <col min="2" max="2" width="34.5546875" customWidth="1"/>
    <col min="3" max="3" width="12.44140625" customWidth="1"/>
    <col min="4" max="4" width="18.6640625" customWidth="1"/>
    <col min="5" max="5" width="11.6640625" customWidth="1"/>
    <col min="6" max="6" width="36.6640625" customWidth="1"/>
    <col min="8" max="8" width="12" customWidth="1"/>
    <col min="11" max="11" width="11.44140625" bestFit="1" customWidth="1"/>
  </cols>
  <sheetData>
    <row r="1" spans="1:6" ht="16.899999999999999">
      <c r="A1" s="38" t="s">
        <v>5</v>
      </c>
      <c r="B1" s="63" t="s">
        <v>47</v>
      </c>
      <c r="C1" s="63"/>
      <c r="D1" s="63"/>
      <c r="E1" s="63"/>
      <c r="F1" s="63"/>
    </row>
    <row r="2" spans="1:6" ht="16.899999999999999">
      <c r="A2" s="38" t="s">
        <v>6</v>
      </c>
      <c r="B2" s="64" t="s">
        <v>45</v>
      </c>
      <c r="C2" s="64"/>
      <c r="D2" s="64"/>
      <c r="E2" s="64"/>
      <c r="F2" s="64"/>
    </row>
    <row r="3" spans="1:6" ht="16.899999999999999">
      <c r="A3" s="39"/>
      <c r="B3" s="40" t="s">
        <v>7</v>
      </c>
      <c r="C3" s="40" t="s">
        <v>8</v>
      </c>
      <c r="D3" s="40" t="s">
        <v>9</v>
      </c>
      <c r="E3" s="41" t="s">
        <v>48</v>
      </c>
      <c r="F3" s="40" t="s">
        <v>49</v>
      </c>
    </row>
    <row r="4" spans="1:6" ht="16.899999999999999">
      <c r="A4" s="42" t="s">
        <v>10</v>
      </c>
      <c r="B4" s="39">
        <v>26</v>
      </c>
      <c r="C4" s="39">
        <v>1</v>
      </c>
      <c r="D4" s="39">
        <v>0</v>
      </c>
      <c r="E4" s="39">
        <v>0</v>
      </c>
      <c r="F4" s="39">
        <v>26</v>
      </c>
    </row>
    <row r="5" spans="1:6" ht="16.899999999999999">
      <c r="A5" s="42" t="s">
        <v>11</v>
      </c>
      <c r="B5" s="39">
        <v>13</v>
      </c>
      <c r="C5" s="39">
        <v>0</v>
      </c>
      <c r="D5" s="39">
        <v>0</v>
      </c>
      <c r="E5" s="43">
        <v>0</v>
      </c>
      <c r="F5" s="39">
        <v>13</v>
      </c>
    </row>
    <row r="30" spans="1:13" ht="16.899999999999999">
      <c r="A30" s="62" t="s">
        <v>12</v>
      </c>
      <c r="B30" s="62" t="s">
        <v>4</v>
      </c>
      <c r="C30" s="62" t="s">
        <v>35</v>
      </c>
      <c r="D30" s="62" t="s">
        <v>13</v>
      </c>
      <c r="E30" s="62" t="s">
        <v>14</v>
      </c>
      <c r="F30" s="62" t="s">
        <v>15</v>
      </c>
      <c r="G30" s="62" t="s">
        <v>16</v>
      </c>
      <c r="H30" s="62"/>
      <c r="I30" s="62"/>
      <c r="J30" s="62" t="s">
        <v>16</v>
      </c>
      <c r="K30" s="62"/>
      <c r="L30" s="62"/>
      <c r="M30" s="62" t="s">
        <v>17</v>
      </c>
    </row>
    <row r="31" spans="1:13" ht="16.899999999999999">
      <c r="A31" s="62"/>
      <c r="B31" s="62"/>
      <c r="C31" s="62"/>
      <c r="D31" s="62"/>
      <c r="E31" s="62"/>
      <c r="F31" s="62"/>
      <c r="G31" s="62" t="s">
        <v>18</v>
      </c>
      <c r="H31" s="62"/>
      <c r="I31" s="62"/>
      <c r="J31" s="62" t="s">
        <v>19</v>
      </c>
      <c r="K31" s="62"/>
      <c r="L31" s="62"/>
      <c r="M31" s="62"/>
    </row>
    <row r="32" spans="1:13" ht="50.75">
      <c r="A32" s="62"/>
      <c r="B32" s="62"/>
      <c r="C32" s="62"/>
      <c r="D32" s="62"/>
      <c r="E32" s="62"/>
      <c r="F32" s="62"/>
      <c r="G32" s="24" t="s">
        <v>20</v>
      </c>
      <c r="H32" s="23" t="s">
        <v>21</v>
      </c>
      <c r="I32" s="34" t="s">
        <v>22</v>
      </c>
      <c r="J32" s="24" t="s">
        <v>20</v>
      </c>
      <c r="K32" s="23" t="s">
        <v>21</v>
      </c>
      <c r="L32" s="34" t="s">
        <v>22</v>
      </c>
      <c r="M32" s="62"/>
    </row>
    <row r="33" spans="1:13" ht="16.899999999999999">
      <c r="A33" s="60" t="s">
        <v>148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</row>
    <row r="34" spans="1:13" ht="67.650000000000006">
      <c r="A34" s="22" t="s">
        <v>204</v>
      </c>
      <c r="B34" s="18" t="s">
        <v>149</v>
      </c>
      <c r="C34" s="12"/>
      <c r="D34" s="12"/>
      <c r="E34" s="21" t="s">
        <v>52</v>
      </c>
      <c r="F34" s="21" t="s">
        <v>53</v>
      </c>
      <c r="G34" s="33" t="s">
        <v>40</v>
      </c>
      <c r="H34" s="49" t="s">
        <v>54</v>
      </c>
      <c r="I34" s="35" t="s">
        <v>26</v>
      </c>
      <c r="J34" s="14"/>
      <c r="K34" s="20"/>
      <c r="L34" s="13"/>
      <c r="M34" s="12"/>
    </row>
    <row r="35" spans="1:13" ht="50.75">
      <c r="A35" s="22" t="s">
        <v>205</v>
      </c>
      <c r="B35" s="18" t="s">
        <v>150</v>
      </c>
      <c r="C35" s="12"/>
      <c r="D35" s="12"/>
      <c r="E35" s="21" t="s">
        <v>151</v>
      </c>
      <c r="F35" s="21" t="s">
        <v>152</v>
      </c>
      <c r="G35" s="33" t="s">
        <v>40</v>
      </c>
      <c r="H35" s="49" t="s">
        <v>54</v>
      </c>
      <c r="I35" s="35" t="s">
        <v>26</v>
      </c>
      <c r="J35" s="14"/>
      <c r="K35" s="20"/>
      <c r="L35" s="13"/>
      <c r="M35" s="12"/>
    </row>
    <row r="36" spans="1:13" ht="47.45" customHeight="1">
      <c r="A36" s="22" t="s">
        <v>206</v>
      </c>
      <c r="B36" s="18" t="s">
        <v>153</v>
      </c>
      <c r="C36" s="12"/>
      <c r="D36" s="12"/>
      <c r="E36" s="21" t="s">
        <v>154</v>
      </c>
      <c r="F36" s="21" t="s">
        <v>154</v>
      </c>
      <c r="G36" s="33" t="s">
        <v>40</v>
      </c>
      <c r="H36" s="49" t="s">
        <v>54</v>
      </c>
      <c r="I36" s="35" t="s">
        <v>26</v>
      </c>
      <c r="J36" s="14"/>
      <c r="K36" s="20"/>
      <c r="L36" s="13"/>
      <c r="M36" s="12"/>
    </row>
    <row r="37" spans="1:13" ht="67.650000000000006">
      <c r="A37" s="22" t="s">
        <v>207</v>
      </c>
      <c r="B37" s="18" t="s">
        <v>155</v>
      </c>
      <c r="C37" s="12"/>
      <c r="D37" s="12"/>
      <c r="E37" s="21" t="s">
        <v>156</v>
      </c>
      <c r="F37" s="21" t="s">
        <v>157</v>
      </c>
      <c r="G37" s="33" t="s">
        <v>40</v>
      </c>
      <c r="H37" s="49" t="s">
        <v>54</v>
      </c>
      <c r="I37" s="35" t="s">
        <v>26</v>
      </c>
      <c r="J37" s="14"/>
      <c r="K37" s="20"/>
      <c r="L37" s="13"/>
      <c r="M37" s="12"/>
    </row>
    <row r="38" spans="1:13" ht="33.85">
      <c r="A38" s="22" t="s">
        <v>208</v>
      </c>
      <c r="B38" s="48" t="s">
        <v>158</v>
      </c>
      <c r="C38" s="12"/>
      <c r="D38" s="12"/>
      <c r="E38" s="21" t="s">
        <v>159</v>
      </c>
      <c r="F38" s="21" t="s">
        <v>159</v>
      </c>
      <c r="G38" s="33" t="s">
        <v>40</v>
      </c>
      <c r="H38" s="49" t="s">
        <v>54</v>
      </c>
      <c r="I38" s="35" t="s">
        <v>26</v>
      </c>
      <c r="J38" s="14"/>
      <c r="K38" s="20"/>
      <c r="L38" s="13"/>
      <c r="M38" s="12"/>
    </row>
    <row r="39" spans="1:13" ht="33.85">
      <c r="A39" s="22" t="s">
        <v>209</v>
      </c>
      <c r="B39" s="46" t="s">
        <v>160</v>
      </c>
      <c r="C39" s="12"/>
      <c r="D39" s="12"/>
      <c r="E39" s="21" t="s">
        <v>159</v>
      </c>
      <c r="F39" s="21" t="s">
        <v>159</v>
      </c>
      <c r="G39" s="33" t="s">
        <v>40</v>
      </c>
      <c r="H39" s="49" t="s">
        <v>54</v>
      </c>
      <c r="I39" s="35" t="s">
        <v>26</v>
      </c>
      <c r="J39" s="14"/>
      <c r="K39" s="20"/>
      <c r="L39" s="13"/>
      <c r="M39" s="12"/>
    </row>
    <row r="40" spans="1:13" ht="67.650000000000006">
      <c r="A40" s="22" t="s">
        <v>210</v>
      </c>
      <c r="B40" s="18" t="s">
        <v>161</v>
      </c>
      <c r="C40" s="12"/>
      <c r="D40" s="12"/>
      <c r="E40" s="21" t="s">
        <v>73</v>
      </c>
      <c r="F40" s="21" t="s">
        <v>162</v>
      </c>
      <c r="G40" s="33" t="s">
        <v>40</v>
      </c>
      <c r="H40" s="49" t="s">
        <v>54</v>
      </c>
      <c r="I40" s="35" t="s">
        <v>26</v>
      </c>
      <c r="J40" s="14"/>
      <c r="K40" s="20"/>
      <c r="L40" s="13"/>
      <c r="M40" s="12"/>
    </row>
    <row r="41" spans="1:13" ht="67.650000000000006">
      <c r="A41" s="22" t="s">
        <v>211</v>
      </c>
      <c r="B41" s="48" t="s">
        <v>163</v>
      </c>
      <c r="C41" s="12"/>
      <c r="D41" s="12"/>
      <c r="E41" s="21" t="s">
        <v>73</v>
      </c>
      <c r="F41" s="21" t="s">
        <v>164</v>
      </c>
      <c r="G41" s="33" t="s">
        <v>40</v>
      </c>
      <c r="H41" s="49" t="s">
        <v>54</v>
      </c>
      <c r="I41" s="35" t="s">
        <v>26</v>
      </c>
      <c r="J41" s="14"/>
      <c r="K41" s="20"/>
      <c r="L41" s="13"/>
      <c r="M41" s="12"/>
    </row>
    <row r="42" spans="1:13" ht="48.7" customHeight="1">
      <c r="A42" s="22" t="s">
        <v>212</v>
      </c>
      <c r="B42" s="18" t="s">
        <v>165</v>
      </c>
      <c r="C42" s="12"/>
      <c r="D42" s="12"/>
      <c r="E42" s="21" t="s">
        <v>166</v>
      </c>
      <c r="F42" s="21" t="s">
        <v>166</v>
      </c>
      <c r="G42" s="33" t="s">
        <v>40</v>
      </c>
      <c r="H42" s="49" t="s">
        <v>54</v>
      </c>
      <c r="I42" s="35" t="s">
        <v>26</v>
      </c>
      <c r="J42" s="14"/>
      <c r="K42" s="20"/>
      <c r="L42" s="13"/>
      <c r="M42" s="12"/>
    </row>
    <row r="43" spans="1:13" ht="46.2" customHeight="1">
      <c r="A43" s="22" t="s">
        <v>213</v>
      </c>
      <c r="B43" s="18" t="s">
        <v>167</v>
      </c>
      <c r="C43" s="12"/>
      <c r="D43" s="12"/>
      <c r="E43" s="21" t="s">
        <v>166</v>
      </c>
      <c r="F43" s="21" t="s">
        <v>166</v>
      </c>
      <c r="G43" s="33" t="s">
        <v>40</v>
      </c>
      <c r="H43" s="49" t="s">
        <v>54</v>
      </c>
      <c r="I43" s="35" t="s">
        <v>26</v>
      </c>
      <c r="J43" s="14"/>
      <c r="K43" s="20"/>
      <c r="L43" s="13"/>
      <c r="M43" s="12"/>
    </row>
    <row r="44" spans="1:13" ht="50.75">
      <c r="A44" s="22" t="s">
        <v>214</v>
      </c>
      <c r="B44" s="18" t="s">
        <v>168</v>
      </c>
      <c r="C44" s="12"/>
      <c r="D44" s="12"/>
      <c r="E44" s="21" t="s">
        <v>169</v>
      </c>
      <c r="F44" s="21" t="s">
        <v>169</v>
      </c>
      <c r="G44" s="33" t="s">
        <v>40</v>
      </c>
      <c r="H44" s="49" t="s">
        <v>54</v>
      </c>
      <c r="I44" s="35" t="s">
        <v>26</v>
      </c>
      <c r="J44" s="14"/>
      <c r="K44" s="20"/>
      <c r="L44" s="13"/>
      <c r="M44" s="12"/>
    </row>
    <row r="45" spans="1:13" ht="101.45">
      <c r="A45" s="22" t="s">
        <v>215</v>
      </c>
      <c r="B45" s="18" t="s">
        <v>170</v>
      </c>
      <c r="C45" s="12"/>
      <c r="D45" s="12"/>
      <c r="E45" s="21" t="s">
        <v>59</v>
      </c>
      <c r="F45" s="21" t="s">
        <v>171</v>
      </c>
      <c r="G45" s="33" t="s">
        <v>40</v>
      </c>
      <c r="H45" s="49" t="s">
        <v>54</v>
      </c>
      <c r="I45" s="35" t="s">
        <v>26</v>
      </c>
      <c r="J45" s="14"/>
      <c r="K45" s="20"/>
      <c r="L45" s="13"/>
      <c r="M45" s="12"/>
    </row>
    <row r="47" spans="1:13" ht="16.899999999999999">
      <c r="A47" s="61" t="s">
        <v>172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</row>
    <row r="48" spans="1:13" ht="114.6" customHeight="1">
      <c r="A48" s="18" t="s">
        <v>34</v>
      </c>
      <c r="B48" s="17" t="s">
        <v>173</v>
      </c>
      <c r="C48" s="17" t="s">
        <v>174</v>
      </c>
      <c r="D48" s="16" t="s">
        <v>82</v>
      </c>
      <c r="E48" s="15" t="s">
        <v>175</v>
      </c>
      <c r="F48" s="15" t="s">
        <v>175</v>
      </c>
      <c r="G48" s="33" t="s">
        <v>40</v>
      </c>
      <c r="H48" s="36" t="s">
        <v>54</v>
      </c>
      <c r="I48" s="35" t="s">
        <v>26</v>
      </c>
      <c r="J48" s="33" t="s">
        <v>40</v>
      </c>
      <c r="K48" s="36" t="s">
        <v>54</v>
      </c>
      <c r="L48" s="47"/>
      <c r="M48" s="12"/>
    </row>
    <row r="49" spans="1:13" ht="67.650000000000006">
      <c r="A49" s="18" t="s">
        <v>33</v>
      </c>
      <c r="B49" s="18" t="s">
        <v>176</v>
      </c>
      <c r="C49" s="17" t="s">
        <v>177</v>
      </c>
      <c r="D49" s="16" t="s">
        <v>82</v>
      </c>
      <c r="E49" s="15" t="s">
        <v>178</v>
      </c>
      <c r="F49" s="15" t="s">
        <v>178</v>
      </c>
      <c r="G49" s="33" t="s">
        <v>40</v>
      </c>
      <c r="H49" s="36" t="s">
        <v>54</v>
      </c>
      <c r="I49" s="35" t="s">
        <v>26</v>
      </c>
      <c r="J49" s="33" t="s">
        <v>40</v>
      </c>
      <c r="K49" s="36" t="s">
        <v>54</v>
      </c>
      <c r="L49" s="47"/>
      <c r="M49" s="12"/>
    </row>
    <row r="50" spans="1:13" ht="111.6" customHeight="1">
      <c r="A50" s="18" t="s">
        <v>32</v>
      </c>
      <c r="B50" s="18" t="s">
        <v>179</v>
      </c>
      <c r="C50" s="17" t="s">
        <v>180</v>
      </c>
      <c r="D50" s="16" t="s">
        <v>82</v>
      </c>
      <c r="E50" s="15" t="s">
        <v>178</v>
      </c>
      <c r="F50" s="15" t="s">
        <v>178</v>
      </c>
      <c r="G50" s="33" t="s">
        <v>40</v>
      </c>
      <c r="H50" s="36" t="s">
        <v>54</v>
      </c>
      <c r="I50" s="35" t="s">
        <v>26</v>
      </c>
      <c r="J50" s="33" t="s">
        <v>40</v>
      </c>
      <c r="K50" s="36" t="s">
        <v>54</v>
      </c>
      <c r="L50" s="47"/>
      <c r="M50" s="12"/>
    </row>
    <row r="51" spans="1:13" ht="109.1" customHeight="1">
      <c r="A51" s="18" t="s">
        <v>31</v>
      </c>
      <c r="B51" s="17" t="s">
        <v>181</v>
      </c>
      <c r="C51" s="15" t="s">
        <v>182</v>
      </c>
      <c r="D51" s="16" t="s">
        <v>82</v>
      </c>
      <c r="E51" s="15" t="s">
        <v>178</v>
      </c>
      <c r="F51" s="15" t="s">
        <v>178</v>
      </c>
      <c r="G51" s="33" t="s">
        <v>40</v>
      </c>
      <c r="H51" s="36" t="s">
        <v>54</v>
      </c>
      <c r="I51" s="35" t="s">
        <v>26</v>
      </c>
      <c r="J51" s="33" t="s">
        <v>40</v>
      </c>
      <c r="K51" s="36" t="s">
        <v>54</v>
      </c>
      <c r="L51" s="47"/>
      <c r="M51" s="12"/>
    </row>
    <row r="52" spans="1:13" ht="117.1" customHeight="1">
      <c r="A52" s="18" t="s">
        <v>30</v>
      </c>
      <c r="B52" s="17" t="s">
        <v>183</v>
      </c>
      <c r="C52" s="17" t="s">
        <v>184</v>
      </c>
      <c r="D52" s="16" t="s">
        <v>82</v>
      </c>
      <c r="E52" s="15" t="s">
        <v>185</v>
      </c>
      <c r="F52" s="15" t="s">
        <v>185</v>
      </c>
      <c r="G52" s="33" t="s">
        <v>40</v>
      </c>
      <c r="H52" s="36" t="s">
        <v>54</v>
      </c>
      <c r="I52" s="35" t="s">
        <v>26</v>
      </c>
      <c r="J52" s="33" t="s">
        <v>40</v>
      </c>
      <c r="K52" s="36" t="s">
        <v>54</v>
      </c>
      <c r="L52" s="47"/>
      <c r="M52" s="12"/>
    </row>
    <row r="53" spans="1:13" ht="107.4" customHeight="1">
      <c r="A53" s="18" t="s">
        <v>29</v>
      </c>
      <c r="B53" s="17" t="s">
        <v>186</v>
      </c>
      <c r="C53" s="17" t="s">
        <v>184</v>
      </c>
      <c r="D53" s="16" t="s">
        <v>82</v>
      </c>
      <c r="E53" s="15" t="s">
        <v>187</v>
      </c>
      <c r="F53" s="15" t="s">
        <v>187</v>
      </c>
      <c r="G53" s="33" t="s">
        <v>40</v>
      </c>
      <c r="H53" s="36" t="s">
        <v>54</v>
      </c>
      <c r="I53" s="35" t="s">
        <v>26</v>
      </c>
      <c r="J53" s="33" t="s">
        <v>40</v>
      </c>
      <c r="K53" s="36" t="s">
        <v>54</v>
      </c>
      <c r="L53" s="47"/>
      <c r="M53" s="12"/>
    </row>
    <row r="54" spans="1:13" ht="180.65" customHeight="1">
      <c r="A54" s="18" t="s">
        <v>28</v>
      </c>
      <c r="B54" s="17" t="s">
        <v>188</v>
      </c>
      <c r="C54" s="17" t="s">
        <v>189</v>
      </c>
      <c r="D54" s="16" t="s">
        <v>82</v>
      </c>
      <c r="E54" s="15" t="s">
        <v>190</v>
      </c>
      <c r="F54" s="15" t="s">
        <v>190</v>
      </c>
      <c r="G54" s="33" t="s">
        <v>40</v>
      </c>
      <c r="H54" s="36" t="s">
        <v>54</v>
      </c>
      <c r="I54" s="35" t="s">
        <v>26</v>
      </c>
      <c r="J54" s="33" t="s">
        <v>40</v>
      </c>
      <c r="K54" s="36" t="s">
        <v>54</v>
      </c>
      <c r="L54" s="47"/>
      <c r="M54" s="12"/>
    </row>
    <row r="55" spans="1:13" ht="185.95">
      <c r="A55" s="18" t="s">
        <v>101</v>
      </c>
      <c r="B55" s="17" t="s">
        <v>191</v>
      </c>
      <c r="C55" s="17" t="s">
        <v>192</v>
      </c>
      <c r="D55" s="16" t="s">
        <v>82</v>
      </c>
      <c r="E55" s="15" t="s">
        <v>193</v>
      </c>
      <c r="F55" s="15" t="s">
        <v>193</v>
      </c>
      <c r="G55" s="33" t="s">
        <v>40</v>
      </c>
      <c r="H55" s="36" t="s">
        <v>54</v>
      </c>
      <c r="I55" s="35" t="s">
        <v>26</v>
      </c>
      <c r="J55" s="33" t="s">
        <v>40</v>
      </c>
      <c r="K55" s="36" t="s">
        <v>54</v>
      </c>
      <c r="L55" s="47"/>
      <c r="M55" s="12"/>
    </row>
    <row r="56" spans="1:13" ht="91.9" customHeight="1">
      <c r="A56" s="18" t="s">
        <v>105</v>
      </c>
      <c r="B56" s="17" t="s">
        <v>194</v>
      </c>
      <c r="C56" s="17" t="s">
        <v>195</v>
      </c>
      <c r="D56" s="16" t="s">
        <v>82</v>
      </c>
      <c r="E56" s="15" t="s">
        <v>196</v>
      </c>
      <c r="F56" s="15" t="s">
        <v>196</v>
      </c>
      <c r="G56" s="33" t="s">
        <v>40</v>
      </c>
      <c r="H56" s="36" t="s">
        <v>54</v>
      </c>
      <c r="I56" s="35" t="s">
        <v>26</v>
      </c>
      <c r="J56" s="33" t="s">
        <v>40</v>
      </c>
      <c r="K56" s="36" t="s">
        <v>54</v>
      </c>
      <c r="L56" s="47"/>
      <c r="M56" s="12"/>
    </row>
    <row r="57" spans="1:13" ht="113.95" customHeight="1">
      <c r="A57" s="18" t="s">
        <v>109</v>
      </c>
      <c r="B57" s="17" t="s">
        <v>116</v>
      </c>
      <c r="C57" s="17" t="s">
        <v>117</v>
      </c>
      <c r="D57" s="16" t="s">
        <v>82</v>
      </c>
      <c r="E57" s="15" t="s">
        <v>118</v>
      </c>
      <c r="F57" s="15" t="s">
        <v>118</v>
      </c>
      <c r="G57" s="33" t="s">
        <v>40</v>
      </c>
      <c r="H57" s="36" t="s">
        <v>54</v>
      </c>
      <c r="I57" s="35" t="s">
        <v>26</v>
      </c>
      <c r="J57" s="33" t="s">
        <v>40</v>
      </c>
      <c r="K57" s="36" t="s">
        <v>54</v>
      </c>
      <c r="L57" s="47"/>
      <c r="M57" s="12"/>
    </row>
    <row r="58" spans="1:13" ht="185.5" customHeight="1">
      <c r="A58" s="18" t="s">
        <v>112</v>
      </c>
      <c r="B58" s="17" t="s">
        <v>120</v>
      </c>
      <c r="C58" s="17" t="s">
        <v>197</v>
      </c>
      <c r="D58" s="16" t="s">
        <v>82</v>
      </c>
      <c r="E58" s="16" t="s">
        <v>82</v>
      </c>
      <c r="F58" s="15" t="s">
        <v>122</v>
      </c>
      <c r="G58" s="33" t="s">
        <v>312</v>
      </c>
      <c r="H58" s="36" t="s">
        <v>54</v>
      </c>
      <c r="I58" s="35" t="s">
        <v>26</v>
      </c>
      <c r="J58" s="33" t="s">
        <v>40</v>
      </c>
      <c r="K58" s="36" t="s">
        <v>54</v>
      </c>
      <c r="L58" s="47"/>
      <c r="M58" s="12"/>
    </row>
    <row r="59" spans="1:13" ht="101.45">
      <c r="A59" s="18" t="s">
        <v>115</v>
      </c>
      <c r="B59" s="17" t="s">
        <v>198</v>
      </c>
      <c r="C59" s="17" t="s">
        <v>199</v>
      </c>
      <c r="D59" s="16" t="s">
        <v>82</v>
      </c>
      <c r="E59" s="15" t="s">
        <v>200</v>
      </c>
      <c r="F59" s="15" t="s">
        <v>200</v>
      </c>
      <c r="G59" s="33" t="s">
        <v>40</v>
      </c>
      <c r="H59" s="36" t="s">
        <v>54</v>
      </c>
      <c r="I59" s="35" t="s">
        <v>26</v>
      </c>
      <c r="J59" s="33" t="s">
        <v>40</v>
      </c>
      <c r="K59" s="36" t="s">
        <v>54</v>
      </c>
      <c r="L59" s="47"/>
      <c r="M59" s="12"/>
    </row>
    <row r="60" spans="1:13" ht="101.45">
      <c r="A60" s="18" t="s">
        <v>119</v>
      </c>
      <c r="B60" s="17" t="s">
        <v>201</v>
      </c>
      <c r="C60" s="17" t="s">
        <v>202</v>
      </c>
      <c r="D60" s="16" t="s">
        <v>82</v>
      </c>
      <c r="E60" s="15" t="s">
        <v>203</v>
      </c>
      <c r="F60" s="15" t="s">
        <v>203</v>
      </c>
      <c r="G60" s="33" t="s">
        <v>40</v>
      </c>
      <c r="H60" s="36" t="s">
        <v>54</v>
      </c>
      <c r="I60" s="35" t="s">
        <v>26</v>
      </c>
      <c r="J60" s="33" t="s">
        <v>40</v>
      </c>
      <c r="K60" s="36" t="s">
        <v>54</v>
      </c>
      <c r="L60" s="47"/>
      <c r="M60" s="12"/>
    </row>
  </sheetData>
  <mergeCells count="15">
    <mergeCell ref="B1:F1"/>
    <mergeCell ref="B2:F2"/>
    <mergeCell ref="A30:A32"/>
    <mergeCell ref="B30:B32"/>
    <mergeCell ref="C30:C32"/>
    <mergeCell ref="D30:D32"/>
    <mergeCell ref="E30:E32"/>
    <mergeCell ref="F30:F32"/>
    <mergeCell ref="A33:M33"/>
    <mergeCell ref="A47:M47"/>
    <mergeCell ref="G30:I30"/>
    <mergeCell ref="J30:L30"/>
    <mergeCell ref="M30:M32"/>
    <mergeCell ref="G31:I31"/>
    <mergeCell ref="J31:L31"/>
  </mergeCells>
  <phoneticPr fontId="8" type="noConversion"/>
  <conditionalFormatting sqref="G11:G22">
    <cfRule type="containsText" dxfId="32" priority="145" operator="containsText" text="Pass">
      <formula>NOT(ISERROR(SEARCH("Pass",G11)))</formula>
    </cfRule>
    <cfRule type="containsText" dxfId="31" priority="146" operator="containsText" text="Fail">
      <formula>NOT(ISERROR(SEARCH("Fail",G11)))</formula>
    </cfRule>
    <cfRule type="containsText" dxfId="30" priority="147" operator="containsText" text="Pass">
      <formula>NOT(ISERROR(SEARCH("Pass",G11)))</formula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:G32">
    <cfRule type="containsText" dxfId="29" priority="149" operator="containsText" text="Pass">
      <formula>NOT(ISERROR(SEARCH("Pass",G24)))</formula>
    </cfRule>
    <cfRule type="containsText" dxfId="28" priority="150" operator="containsText" text="Fail">
      <formula>NOT(ISERROR(SEARCH("Fail",G24)))</formula>
    </cfRule>
    <cfRule type="containsText" dxfId="27" priority="151" operator="containsText" text="Pass">
      <formula>NOT(ISERROR(SEARCH("Pass",G24)))</formula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G45">
    <cfRule type="containsText" dxfId="26" priority="17" operator="containsText" text="Pass">
      <formula>NOT(ISERROR(SEARCH("Pass",G34)))</formula>
    </cfRule>
    <cfRule type="containsText" dxfId="25" priority="18" operator="containsText" text="Fail">
      <formula>NOT(ISERROR(SEARCH("Fail",G34)))</formula>
    </cfRule>
    <cfRule type="containsText" dxfId="24" priority="19" operator="containsText" text="Pass">
      <formula>NOT(ISERROR(SEARCH("Pass",G34)))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8:G5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8:G60">
    <cfRule type="containsText" dxfId="23" priority="5" operator="containsText" text="Pass">
      <formula>NOT(ISERROR(SEARCH("Pass",G48)))</formula>
    </cfRule>
    <cfRule type="containsText" dxfId="22" priority="6" operator="containsText" text="Fail">
      <formula>NOT(ISERROR(SEARCH("Fail",G48)))</formula>
    </cfRule>
    <cfRule type="containsText" dxfId="21" priority="7" operator="containsText" text="Pass">
      <formula>NOT(ISERROR(SEARCH("Pass",G48)))</formula>
    </cfRule>
  </conditionalFormatting>
  <conditionalFormatting sqref="G5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9:G6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:J60">
    <cfRule type="containsText" dxfId="20" priority="1" operator="containsText" text="Pass">
      <formula>NOT(ISERROR(SEARCH("Pass",J48)))</formula>
    </cfRule>
    <cfRule type="containsText" dxfId="19" priority="2" operator="containsText" text="Fail">
      <formula>NOT(ISERROR(SEARCH("Fail",J48)))</formula>
    </cfRule>
    <cfRule type="containsText" dxfId="18" priority="3" operator="containsText" text="Pass">
      <formula>NOT(ISERROR(SEARCH("Pass",J48)))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operator="equal" allowBlank="1" showErrorMessage="1" promptTitle="dfdf" sqref="J34:J45" xr:uid="{00000000-0002-0000-0200-000000000000}">
      <formula1>"Passed,Untested,Failed,Blocked"</formula1>
      <formula2>0</formula2>
    </dataValidation>
    <dataValidation type="list" allowBlank="1" showErrorMessage="1" sqref="G34:G45 G48:G60 J48:J60" xr:uid="{3403059B-C742-4EF4-9543-70B0F6B49CCB}">
      <formula1>"Pass,Fail"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topLeftCell="A10" zoomScale="40" zoomScaleNormal="40" workbookViewId="0">
      <selection activeCell="F16" sqref="F16"/>
    </sheetView>
  </sheetViews>
  <sheetFormatPr defaultColWidth="9.109375" defaultRowHeight="16.899999999999999"/>
  <cols>
    <col min="1" max="1" width="21.33203125" style="2" bestFit="1" customWidth="1"/>
    <col min="2" max="2" width="40.6640625" style="2" bestFit="1" customWidth="1"/>
    <col min="3" max="3" width="51.44140625" style="2" customWidth="1"/>
    <col min="4" max="4" width="34.109375" style="2" customWidth="1"/>
    <col min="5" max="5" width="38.109375" style="2" customWidth="1"/>
    <col min="6" max="6" width="51" style="2" customWidth="1"/>
    <col min="7" max="7" width="16" style="2" bestFit="1" customWidth="1"/>
    <col min="8" max="8" width="21.5546875" style="2" bestFit="1" customWidth="1"/>
    <col min="9" max="9" width="22.6640625" style="2" bestFit="1" customWidth="1"/>
    <col min="10" max="10" width="16" style="2" bestFit="1" customWidth="1"/>
    <col min="11" max="11" width="21.5546875" style="2" bestFit="1" customWidth="1"/>
    <col min="12" max="12" width="22.6640625" style="2" bestFit="1" customWidth="1"/>
    <col min="13" max="13" width="16" style="2" bestFit="1" customWidth="1"/>
    <col min="14" max="16384" width="9.109375" style="2"/>
  </cols>
  <sheetData>
    <row r="1" spans="1:13" s="19" customFormat="1" ht="16.45" customHeight="1">
      <c r="A1" s="32" t="s">
        <v>5</v>
      </c>
      <c r="B1" s="77" t="s">
        <v>38</v>
      </c>
      <c r="C1" s="77"/>
      <c r="D1" s="77"/>
      <c r="E1" s="77"/>
      <c r="F1" s="77"/>
      <c r="G1" s="10"/>
      <c r="H1" s="25"/>
      <c r="J1" s="10"/>
    </row>
    <row r="2" spans="1:13" s="19" customFormat="1">
      <c r="A2" s="32" t="s">
        <v>6</v>
      </c>
      <c r="B2" s="78" t="s">
        <v>43</v>
      </c>
      <c r="C2" s="78"/>
      <c r="D2" s="78"/>
      <c r="E2" s="78"/>
      <c r="F2" s="78"/>
      <c r="G2" s="10"/>
      <c r="H2" s="25"/>
      <c r="J2" s="10"/>
    </row>
    <row r="3" spans="1:13" s="19" customFormat="1">
      <c r="A3" s="30"/>
      <c r="B3" s="34" t="s">
        <v>7</v>
      </c>
      <c r="C3" s="34" t="s">
        <v>8</v>
      </c>
      <c r="D3" s="34" t="s">
        <v>9</v>
      </c>
      <c r="E3" s="34" t="s">
        <v>37</v>
      </c>
      <c r="F3" s="34" t="s">
        <v>36</v>
      </c>
      <c r="G3" s="10"/>
      <c r="H3" s="25"/>
      <c r="J3" s="10"/>
    </row>
    <row r="4" spans="1:13" s="19" customFormat="1">
      <c r="A4" s="31" t="s">
        <v>10</v>
      </c>
      <c r="B4" s="28">
        <v>17</v>
      </c>
      <c r="C4" s="28">
        <v>0</v>
      </c>
      <c r="D4" s="30">
        <f>COUNTIF(G11:G24,"Untested")</f>
        <v>0</v>
      </c>
      <c r="E4" s="29">
        <f>COUNTIF(G11:G24,"Blocked")</f>
        <v>0</v>
      </c>
      <c r="F4" s="30">
        <v>17</v>
      </c>
      <c r="G4" s="10"/>
      <c r="H4" s="25"/>
      <c r="J4" s="10"/>
    </row>
    <row r="5" spans="1:13" s="19" customFormat="1">
      <c r="A5" s="31" t="s">
        <v>11</v>
      </c>
      <c r="B5" s="28">
        <v>9</v>
      </c>
      <c r="C5" s="28">
        <v>0</v>
      </c>
      <c r="D5" s="30">
        <f>COUNTIF(J11:J24,"Untested")</f>
        <v>0</v>
      </c>
      <c r="E5" s="29">
        <f>COUNTIF(J11:J24,"Blocked")</f>
        <v>0</v>
      </c>
      <c r="F5" s="30">
        <v>9</v>
      </c>
      <c r="G5" s="10"/>
      <c r="H5" s="25"/>
      <c r="J5" s="10"/>
    </row>
    <row r="6" spans="1:13" s="19" customFormat="1" ht="409.6" customHeight="1">
      <c r="A6" s="27"/>
      <c r="B6" s="26"/>
      <c r="E6" s="11"/>
      <c r="G6" s="10"/>
      <c r="H6" s="25"/>
      <c r="J6" s="10"/>
    </row>
    <row r="7" spans="1:13" s="19" customFormat="1">
      <c r="A7" s="74" t="s">
        <v>12</v>
      </c>
      <c r="B7" s="74" t="s">
        <v>4</v>
      </c>
      <c r="C7" s="74" t="s">
        <v>35</v>
      </c>
      <c r="D7" s="74" t="s">
        <v>13</v>
      </c>
      <c r="E7" s="74" t="s">
        <v>14</v>
      </c>
      <c r="F7" s="74" t="s">
        <v>15</v>
      </c>
      <c r="G7" s="71" t="s">
        <v>16</v>
      </c>
      <c r="H7" s="72"/>
      <c r="I7" s="73"/>
      <c r="J7" s="71" t="s">
        <v>16</v>
      </c>
      <c r="K7" s="72"/>
      <c r="L7" s="73"/>
      <c r="M7" s="74" t="s">
        <v>17</v>
      </c>
    </row>
    <row r="8" spans="1:13" s="19" customFormat="1">
      <c r="A8" s="75"/>
      <c r="B8" s="75"/>
      <c r="C8" s="75"/>
      <c r="D8" s="75"/>
      <c r="E8" s="75"/>
      <c r="F8" s="75"/>
      <c r="G8" s="71" t="s">
        <v>18</v>
      </c>
      <c r="H8" s="72"/>
      <c r="I8" s="73"/>
      <c r="J8" s="71" t="s">
        <v>19</v>
      </c>
      <c r="K8" s="72"/>
      <c r="L8" s="73"/>
      <c r="M8" s="75"/>
    </row>
    <row r="9" spans="1:13" s="19" customFormat="1">
      <c r="A9" s="76"/>
      <c r="B9" s="76"/>
      <c r="C9" s="76"/>
      <c r="D9" s="76"/>
      <c r="E9" s="76"/>
      <c r="F9" s="76"/>
      <c r="G9" s="24" t="s">
        <v>20</v>
      </c>
      <c r="H9" s="23" t="s">
        <v>21</v>
      </c>
      <c r="I9" s="34" t="s">
        <v>22</v>
      </c>
      <c r="J9" s="24" t="s">
        <v>20</v>
      </c>
      <c r="K9" s="23" t="s">
        <v>21</v>
      </c>
      <c r="L9" s="34" t="s">
        <v>22</v>
      </c>
      <c r="M9" s="76"/>
    </row>
    <row r="10" spans="1:13" s="19" customFormat="1">
      <c r="A10" s="65" t="s">
        <v>216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7"/>
    </row>
    <row r="11" spans="1:13" s="19" customFormat="1" ht="33.85">
      <c r="A11" s="22" t="s">
        <v>254</v>
      </c>
      <c r="B11" s="18" t="s">
        <v>217</v>
      </c>
      <c r="C11" s="12"/>
      <c r="D11" s="12"/>
      <c r="E11" s="21" t="s">
        <v>39</v>
      </c>
      <c r="F11" s="21" t="s">
        <v>39</v>
      </c>
      <c r="G11" s="33" t="s">
        <v>40</v>
      </c>
      <c r="H11" s="36" t="s">
        <v>54</v>
      </c>
      <c r="I11" s="35" t="s">
        <v>23</v>
      </c>
      <c r="J11" s="14"/>
      <c r="K11" s="20"/>
      <c r="L11" s="13"/>
      <c r="M11" s="12"/>
    </row>
    <row r="12" spans="1:13" s="19" customFormat="1">
      <c r="A12" s="22" t="s">
        <v>255</v>
      </c>
      <c r="B12" s="18" t="s">
        <v>218</v>
      </c>
      <c r="C12" s="12"/>
      <c r="D12" s="12"/>
      <c r="E12" s="21" t="s">
        <v>159</v>
      </c>
      <c r="F12" s="21" t="s">
        <v>159</v>
      </c>
      <c r="G12" s="33" t="s">
        <v>40</v>
      </c>
      <c r="H12" s="36" t="s">
        <v>54</v>
      </c>
      <c r="I12" s="35" t="s">
        <v>23</v>
      </c>
      <c r="J12" s="14"/>
      <c r="K12" s="20"/>
      <c r="L12" s="13"/>
      <c r="M12" s="12"/>
    </row>
    <row r="13" spans="1:13" s="19" customFormat="1">
      <c r="A13" s="22" t="s">
        <v>256</v>
      </c>
      <c r="B13" s="18" t="s">
        <v>219</v>
      </c>
      <c r="C13" s="12"/>
      <c r="D13" s="12"/>
      <c r="E13" s="21" t="s">
        <v>159</v>
      </c>
      <c r="F13" s="21" t="s">
        <v>159</v>
      </c>
      <c r="G13" s="33" t="s">
        <v>40</v>
      </c>
      <c r="H13" s="36" t="s">
        <v>54</v>
      </c>
      <c r="I13" s="35" t="s">
        <v>23</v>
      </c>
      <c r="J13" s="14"/>
      <c r="K13" s="20"/>
      <c r="L13" s="13"/>
      <c r="M13" s="12"/>
    </row>
    <row r="14" spans="1:13" s="19" customFormat="1">
      <c r="A14" s="22" t="s">
        <v>257</v>
      </c>
      <c r="B14" s="18" t="s">
        <v>220</v>
      </c>
      <c r="C14" s="12"/>
      <c r="D14" s="12"/>
      <c r="E14" s="21" t="s">
        <v>159</v>
      </c>
      <c r="F14" s="21" t="s">
        <v>159</v>
      </c>
      <c r="G14" s="33" t="s">
        <v>40</v>
      </c>
      <c r="H14" s="36" t="s">
        <v>54</v>
      </c>
      <c r="I14" s="35" t="s">
        <v>23</v>
      </c>
      <c r="J14" s="14"/>
      <c r="K14" s="20"/>
      <c r="L14" s="13"/>
      <c r="M14" s="12"/>
    </row>
    <row r="15" spans="1:13" s="19" customFormat="1">
      <c r="A15" s="22" t="s">
        <v>258</v>
      </c>
      <c r="B15" s="18" t="s">
        <v>221</v>
      </c>
      <c r="C15" s="12"/>
      <c r="D15" s="12"/>
      <c r="E15" s="21" t="s">
        <v>159</v>
      </c>
      <c r="F15" s="21" t="s">
        <v>159</v>
      </c>
      <c r="G15" s="33" t="s">
        <v>40</v>
      </c>
      <c r="H15" s="36" t="s">
        <v>54</v>
      </c>
      <c r="I15" s="35" t="s">
        <v>23</v>
      </c>
      <c r="J15" s="14"/>
      <c r="K15" s="20"/>
      <c r="L15" s="13"/>
      <c r="M15" s="12"/>
    </row>
    <row r="16" spans="1:13" s="19" customFormat="1" ht="52" customHeight="1">
      <c r="A16" s="22" t="s">
        <v>259</v>
      </c>
      <c r="B16" s="18" t="s">
        <v>222</v>
      </c>
      <c r="C16" s="12"/>
      <c r="D16" s="12"/>
      <c r="E16" s="21" t="s">
        <v>251</v>
      </c>
      <c r="F16" s="21" t="s">
        <v>251</v>
      </c>
      <c r="G16" s="33" t="s">
        <v>40</v>
      </c>
      <c r="H16" s="36" t="s">
        <v>54</v>
      </c>
      <c r="I16" s="35" t="s">
        <v>23</v>
      </c>
      <c r="J16" s="14"/>
      <c r="K16" s="20"/>
      <c r="L16" s="13"/>
      <c r="M16" s="12"/>
    </row>
    <row r="17" spans="1:13" s="19" customFormat="1">
      <c r="A17" s="22" t="s">
        <v>260</v>
      </c>
      <c r="B17" s="18" t="s">
        <v>223</v>
      </c>
      <c r="C17" s="12"/>
      <c r="D17" s="12"/>
      <c r="E17" s="21" t="s">
        <v>252</v>
      </c>
      <c r="F17" s="21" t="s">
        <v>252</v>
      </c>
      <c r="G17" s="33" t="s">
        <v>40</v>
      </c>
      <c r="H17" s="36" t="s">
        <v>54</v>
      </c>
      <c r="I17" s="35" t="s">
        <v>23</v>
      </c>
      <c r="J17" s="14"/>
      <c r="K17" s="20"/>
      <c r="L17" s="13"/>
      <c r="M17" s="12"/>
    </row>
    <row r="18" spans="1:13" s="19" customFormat="1">
      <c r="A18" s="22" t="s">
        <v>261</v>
      </c>
      <c r="B18" s="18" t="s">
        <v>224</v>
      </c>
      <c r="C18" s="12"/>
      <c r="D18" s="12"/>
      <c r="E18" s="21" t="s">
        <v>253</v>
      </c>
      <c r="F18" s="21" t="s">
        <v>253</v>
      </c>
      <c r="G18" s="33" t="s">
        <v>40</v>
      </c>
      <c r="H18" s="36" t="s">
        <v>54</v>
      </c>
      <c r="I18" s="35" t="s">
        <v>23</v>
      </c>
      <c r="J18" s="14"/>
      <c r="K18" s="20"/>
      <c r="L18" s="13"/>
      <c r="M18" s="12"/>
    </row>
    <row r="19" spans="1:13" s="19" customFormat="1">
      <c r="A19" s="68" t="s">
        <v>225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</row>
    <row r="20" spans="1:13" s="19" customFormat="1" ht="50.75">
      <c r="A20" s="18" t="s">
        <v>262</v>
      </c>
      <c r="B20" s="18" t="s">
        <v>226</v>
      </c>
      <c r="C20" s="18" t="s">
        <v>227</v>
      </c>
      <c r="D20" s="16" t="s">
        <v>228</v>
      </c>
      <c r="E20" s="15" t="s">
        <v>229</v>
      </c>
      <c r="F20" s="15" t="s">
        <v>229</v>
      </c>
      <c r="G20" s="33" t="s">
        <v>40</v>
      </c>
      <c r="H20" s="36" t="s">
        <v>54</v>
      </c>
      <c r="I20" s="35" t="s">
        <v>23</v>
      </c>
      <c r="J20" s="33" t="s">
        <v>40</v>
      </c>
      <c r="K20" s="36" t="s">
        <v>316</v>
      </c>
      <c r="L20" s="35" t="s">
        <v>23</v>
      </c>
      <c r="M20" s="12"/>
    </row>
    <row r="21" spans="1:13" s="19" customFormat="1" ht="33.85">
      <c r="A21" s="18" t="s">
        <v>263</v>
      </c>
      <c r="B21" s="18" t="s">
        <v>230</v>
      </c>
      <c r="C21" s="18" t="s">
        <v>227</v>
      </c>
      <c r="D21" s="16" t="s">
        <v>228</v>
      </c>
      <c r="E21" s="15" t="s">
        <v>231</v>
      </c>
      <c r="F21" s="15" t="s">
        <v>231</v>
      </c>
      <c r="G21" s="33" t="s">
        <v>40</v>
      </c>
      <c r="H21" s="36" t="s">
        <v>54</v>
      </c>
      <c r="I21" s="35" t="s">
        <v>23</v>
      </c>
      <c r="J21" s="33" t="s">
        <v>40</v>
      </c>
      <c r="K21" s="36" t="s">
        <v>316</v>
      </c>
      <c r="L21" s="35" t="s">
        <v>23</v>
      </c>
      <c r="M21" s="12"/>
    </row>
    <row r="22" spans="1:13" s="19" customFormat="1" ht="52" customHeight="1">
      <c r="A22" s="18" t="s">
        <v>264</v>
      </c>
      <c r="B22" s="18" t="s">
        <v>232</v>
      </c>
      <c r="C22" s="18" t="s">
        <v>233</v>
      </c>
      <c r="D22" s="16" t="s">
        <v>228</v>
      </c>
      <c r="E22" s="15" t="s">
        <v>234</v>
      </c>
      <c r="F22" s="15" t="s">
        <v>234</v>
      </c>
      <c r="G22" s="33" t="s">
        <v>40</v>
      </c>
      <c r="H22" s="36" t="s">
        <v>54</v>
      </c>
      <c r="I22" s="35" t="s">
        <v>23</v>
      </c>
      <c r="J22" s="33" t="s">
        <v>40</v>
      </c>
      <c r="K22" s="36" t="s">
        <v>316</v>
      </c>
      <c r="L22" s="35" t="s">
        <v>23</v>
      </c>
      <c r="M22" s="12"/>
    </row>
    <row r="23" spans="1:13" s="19" customFormat="1" ht="33.85">
      <c r="A23" s="18" t="s">
        <v>265</v>
      </c>
      <c r="B23" s="18" t="s">
        <v>235</v>
      </c>
      <c r="C23" s="18" t="s">
        <v>236</v>
      </c>
      <c r="D23" s="16" t="s">
        <v>228</v>
      </c>
      <c r="E23" s="15" t="s">
        <v>237</v>
      </c>
      <c r="F23" s="15" t="s">
        <v>237</v>
      </c>
      <c r="G23" s="33" t="s">
        <v>40</v>
      </c>
      <c r="H23" s="36" t="s">
        <v>54</v>
      </c>
      <c r="I23" s="35" t="s">
        <v>23</v>
      </c>
      <c r="J23" s="33" t="s">
        <v>40</v>
      </c>
      <c r="K23" s="36" t="s">
        <v>316</v>
      </c>
      <c r="L23" s="35" t="s">
        <v>23</v>
      </c>
      <c r="M23" s="12"/>
    </row>
    <row r="24" spans="1:13" s="19" customFormat="1" ht="33.85">
      <c r="A24" s="18" t="s">
        <v>266</v>
      </c>
      <c r="B24" s="18" t="s">
        <v>238</v>
      </c>
      <c r="C24" s="18" t="s">
        <v>236</v>
      </c>
      <c r="D24" s="16" t="s">
        <v>228</v>
      </c>
      <c r="E24" s="15" t="s">
        <v>239</v>
      </c>
      <c r="F24" s="15" t="s">
        <v>239</v>
      </c>
      <c r="G24" s="33" t="s">
        <v>40</v>
      </c>
      <c r="H24" s="36" t="s">
        <v>54</v>
      </c>
      <c r="I24" s="35" t="s">
        <v>23</v>
      </c>
      <c r="J24" s="33" t="s">
        <v>40</v>
      </c>
      <c r="K24" s="36" t="s">
        <v>316</v>
      </c>
      <c r="L24" s="35" t="s">
        <v>23</v>
      </c>
      <c r="M24" s="12"/>
    </row>
    <row r="25" spans="1:13" s="19" customFormat="1" ht="50.75">
      <c r="A25" s="18" t="s">
        <v>267</v>
      </c>
      <c r="B25" s="18" t="s">
        <v>240</v>
      </c>
      <c r="C25" s="18" t="s">
        <v>241</v>
      </c>
      <c r="D25" s="16" t="s">
        <v>228</v>
      </c>
      <c r="E25" s="15" t="s">
        <v>242</v>
      </c>
      <c r="F25" s="15" t="s">
        <v>242</v>
      </c>
      <c r="G25" s="33" t="s">
        <v>40</v>
      </c>
      <c r="H25" s="36" t="s">
        <v>54</v>
      </c>
      <c r="I25" s="35" t="s">
        <v>23</v>
      </c>
      <c r="J25" s="33" t="s">
        <v>40</v>
      </c>
      <c r="K25" s="36" t="s">
        <v>316</v>
      </c>
      <c r="L25" s="35" t="s">
        <v>23</v>
      </c>
      <c r="M25" s="12"/>
    </row>
    <row r="26" spans="1:13" s="19" customFormat="1" ht="33.85">
      <c r="A26" s="18" t="s">
        <v>268</v>
      </c>
      <c r="B26" s="18" t="s">
        <v>243</v>
      </c>
      <c r="C26" s="18" t="s">
        <v>236</v>
      </c>
      <c r="D26" s="16" t="s">
        <v>228</v>
      </c>
      <c r="E26" s="15" t="s">
        <v>244</v>
      </c>
      <c r="F26" s="15" t="s">
        <v>244</v>
      </c>
      <c r="G26" s="33" t="s">
        <v>40</v>
      </c>
      <c r="H26" s="36" t="s">
        <v>54</v>
      </c>
      <c r="I26" s="35" t="s">
        <v>23</v>
      </c>
      <c r="J26" s="33" t="s">
        <v>40</v>
      </c>
      <c r="K26" s="36" t="s">
        <v>316</v>
      </c>
      <c r="L26" s="35" t="s">
        <v>23</v>
      </c>
      <c r="M26" s="12"/>
    </row>
    <row r="27" spans="1:13" s="19" customFormat="1" ht="33.85">
      <c r="A27" s="18" t="s">
        <v>269</v>
      </c>
      <c r="B27" s="18" t="s">
        <v>245</v>
      </c>
      <c r="C27" s="18" t="s">
        <v>236</v>
      </c>
      <c r="D27" s="12" t="s">
        <v>246</v>
      </c>
      <c r="E27" s="15" t="s">
        <v>247</v>
      </c>
      <c r="F27" s="15" t="s">
        <v>247</v>
      </c>
      <c r="G27" s="33" t="s">
        <v>40</v>
      </c>
      <c r="H27" s="36" t="s">
        <v>54</v>
      </c>
      <c r="I27" s="35" t="s">
        <v>23</v>
      </c>
      <c r="J27" s="33" t="s">
        <v>40</v>
      </c>
      <c r="K27" s="36" t="s">
        <v>316</v>
      </c>
      <c r="L27" s="35" t="s">
        <v>23</v>
      </c>
      <c r="M27" s="12"/>
    </row>
    <row r="28" spans="1:13" s="19" customFormat="1" ht="33.85">
      <c r="A28" s="18" t="s">
        <v>270</v>
      </c>
      <c r="B28" s="18" t="s">
        <v>248</v>
      </c>
      <c r="C28" s="18" t="s">
        <v>236</v>
      </c>
      <c r="D28" s="12" t="s">
        <v>249</v>
      </c>
      <c r="E28" s="15" t="s">
        <v>250</v>
      </c>
      <c r="F28" s="15" t="s">
        <v>250</v>
      </c>
      <c r="G28" s="33" t="s">
        <v>40</v>
      </c>
      <c r="H28" s="36" t="s">
        <v>54</v>
      </c>
      <c r="I28" s="35" t="s">
        <v>23</v>
      </c>
      <c r="J28" s="33" t="s">
        <v>40</v>
      </c>
      <c r="K28" s="36" t="s">
        <v>316</v>
      </c>
      <c r="L28" s="35" t="s">
        <v>23</v>
      </c>
      <c r="M28" s="12"/>
    </row>
  </sheetData>
  <mergeCells count="15">
    <mergeCell ref="B1:F1"/>
    <mergeCell ref="B2:F2"/>
    <mergeCell ref="A7:A9"/>
    <mergeCell ref="B7:B9"/>
    <mergeCell ref="C7:C9"/>
    <mergeCell ref="D7:D9"/>
    <mergeCell ref="E7:E9"/>
    <mergeCell ref="F7:F9"/>
    <mergeCell ref="A10:M10"/>
    <mergeCell ref="A19:M19"/>
    <mergeCell ref="G7:I7"/>
    <mergeCell ref="J7:L7"/>
    <mergeCell ref="M7:M9"/>
    <mergeCell ref="G8:I8"/>
    <mergeCell ref="J8:L8"/>
  </mergeCells>
  <phoneticPr fontId="8" type="noConversion"/>
  <conditionalFormatting sqref="G11:G1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G18">
    <cfRule type="containsText" dxfId="17" priority="10" operator="containsText" text="Pass">
      <formula>NOT(ISERROR(SEARCH("Pass",G11)))</formula>
    </cfRule>
    <cfRule type="containsText" dxfId="16" priority="11" operator="containsText" text="Fail">
      <formula>NOT(ISERROR(SEARCH("Fail",G11)))</formula>
    </cfRule>
    <cfRule type="containsText" dxfId="15" priority="12" operator="containsText" text="Pass">
      <formula>NOT(ISERROR(SEARCH("Pass",G11)))</formula>
    </cfRule>
  </conditionalFormatting>
  <conditionalFormatting sqref="G1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G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G28">
    <cfRule type="containsText" dxfId="14" priority="6" operator="containsText" text="Pass">
      <formula>NOT(ISERROR(SEARCH("Pass",G20)))</formula>
    </cfRule>
    <cfRule type="containsText" dxfId="13" priority="7" operator="containsText" text="Fail">
      <formula>NOT(ISERROR(SEARCH("Fail",G20)))</formula>
    </cfRule>
    <cfRule type="containsText" dxfId="12" priority="8" operator="containsText" text="Pass">
      <formula>NOT(ISERROR(SEARCH("Pass",G20)))</formula>
    </cfRule>
  </conditionalFormatting>
  <conditionalFormatting sqref="G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J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J28">
    <cfRule type="containsText" dxfId="11" priority="1" operator="containsText" text="Pass">
      <formula>NOT(ISERROR(SEARCH("Pass",J20)))</formula>
    </cfRule>
    <cfRule type="containsText" dxfId="10" priority="2" operator="containsText" text="Fail">
      <formula>NOT(ISERROR(SEARCH("Fail",J20)))</formula>
    </cfRule>
    <cfRule type="containsText" dxfId="9" priority="3" operator="containsText" text="Pass">
      <formula>NOT(ISERROR(SEARCH("Pass",J20)))</formula>
    </cfRule>
  </conditionalFormatting>
  <conditionalFormatting sqref="J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operator="equal" allowBlank="1" showErrorMessage="1" promptTitle="dfdf" sqref="J11:J18" xr:uid="{00000000-0002-0000-0300-000000000000}">
      <formula1>"Passed,Untested,Failed,Blocked"</formula1>
      <formula2>0</formula2>
    </dataValidation>
    <dataValidation type="list" allowBlank="1" showErrorMessage="1" sqref="G20:G28 G11:G18 J20:J28" xr:uid="{00000000-0002-0000-0300-000001000000}">
      <formula1>"Pass,Fail"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zoomScale="55" zoomScaleNormal="55" workbookViewId="0">
      <selection activeCell="F6" sqref="F6"/>
    </sheetView>
  </sheetViews>
  <sheetFormatPr defaultColWidth="9.109375" defaultRowHeight="16.899999999999999"/>
  <cols>
    <col min="1" max="1" width="21.33203125" style="2" bestFit="1" customWidth="1"/>
    <col min="2" max="2" width="31.6640625" style="2" bestFit="1" customWidth="1"/>
    <col min="3" max="3" width="34.33203125" style="2" bestFit="1" customWidth="1"/>
    <col min="4" max="4" width="29" style="2" bestFit="1" customWidth="1"/>
    <col min="5" max="5" width="40" style="2" bestFit="1" customWidth="1"/>
    <col min="6" max="6" width="46" style="2" bestFit="1" customWidth="1"/>
    <col min="7" max="7" width="16" style="2" bestFit="1" customWidth="1"/>
    <col min="8" max="8" width="21.5546875" style="2" bestFit="1" customWidth="1"/>
    <col min="9" max="9" width="22.6640625" style="2" bestFit="1" customWidth="1"/>
    <col min="10" max="10" width="16" style="2" bestFit="1" customWidth="1"/>
    <col min="11" max="11" width="21.5546875" style="2" bestFit="1" customWidth="1"/>
    <col min="12" max="12" width="22.6640625" style="2" bestFit="1" customWidth="1"/>
    <col min="13" max="13" width="16" style="2" bestFit="1" customWidth="1"/>
    <col min="14" max="16384" width="9.109375" style="2"/>
  </cols>
  <sheetData>
    <row r="1" spans="1:13" s="19" customFormat="1" ht="16.45" customHeight="1">
      <c r="A1" s="32" t="s">
        <v>5</v>
      </c>
      <c r="B1" s="77" t="s">
        <v>38</v>
      </c>
      <c r="C1" s="77"/>
      <c r="D1" s="77"/>
      <c r="E1" s="77"/>
      <c r="F1" s="77"/>
      <c r="G1" s="10"/>
      <c r="H1" s="25"/>
      <c r="J1" s="10"/>
    </row>
    <row r="2" spans="1:13" s="19" customFormat="1">
      <c r="A2" s="32" t="s">
        <v>6</v>
      </c>
      <c r="B2" s="78" t="s">
        <v>44</v>
      </c>
      <c r="C2" s="78"/>
      <c r="D2" s="78"/>
      <c r="E2" s="78"/>
      <c r="F2" s="78"/>
      <c r="G2" s="10"/>
      <c r="H2" s="25"/>
      <c r="J2" s="10"/>
    </row>
    <row r="3" spans="1:13" s="19" customFormat="1" ht="16.45" customHeight="1">
      <c r="A3" s="30"/>
      <c r="B3" s="34" t="s">
        <v>7</v>
      </c>
      <c r="C3" s="34" t="s">
        <v>8</v>
      </c>
      <c r="D3" s="34" t="s">
        <v>9</v>
      </c>
      <c r="E3" s="34" t="s">
        <v>37</v>
      </c>
      <c r="F3" s="34" t="s">
        <v>36</v>
      </c>
      <c r="G3" s="10"/>
      <c r="H3" s="25"/>
      <c r="J3" s="10"/>
    </row>
    <row r="4" spans="1:13" s="19" customFormat="1">
      <c r="A4" s="31" t="s">
        <v>10</v>
      </c>
      <c r="B4" s="28">
        <v>12</v>
      </c>
      <c r="C4" s="28">
        <v>1</v>
      </c>
      <c r="D4" s="30">
        <f>COUNTIF(G11:G20,"Untested")</f>
        <v>0</v>
      </c>
      <c r="E4" s="29">
        <f>COUNTIF(G11:G20,"Blocked")</f>
        <v>0</v>
      </c>
      <c r="F4" s="28">
        <v>12</v>
      </c>
      <c r="G4" s="10"/>
      <c r="H4" s="25"/>
      <c r="J4" s="10"/>
    </row>
    <row r="5" spans="1:13" s="19" customFormat="1">
      <c r="A5" s="31" t="s">
        <v>11</v>
      </c>
      <c r="B5" s="28">
        <v>7</v>
      </c>
      <c r="C5" s="28">
        <v>0</v>
      </c>
      <c r="D5" s="30">
        <f>COUNTIF(J11:J20,"Untested")</f>
        <v>0</v>
      </c>
      <c r="E5" s="29">
        <f>COUNTIF(J11:J20,"Blocked")</f>
        <v>0</v>
      </c>
      <c r="F5" s="28">
        <v>7</v>
      </c>
      <c r="G5" s="10"/>
      <c r="H5" s="25"/>
      <c r="J5" s="10"/>
    </row>
    <row r="6" spans="1:13" s="19" customFormat="1" ht="409.6" customHeight="1">
      <c r="A6" s="27"/>
      <c r="B6" s="26"/>
      <c r="E6" s="11"/>
      <c r="G6" s="10"/>
      <c r="H6" s="25"/>
      <c r="J6" s="10"/>
    </row>
    <row r="7" spans="1:13" s="19" customFormat="1">
      <c r="A7" s="62" t="s">
        <v>12</v>
      </c>
      <c r="B7" s="62" t="s">
        <v>4</v>
      </c>
      <c r="C7" s="62" t="s">
        <v>35</v>
      </c>
      <c r="D7" s="62" t="s">
        <v>13</v>
      </c>
      <c r="E7" s="62" t="s">
        <v>14</v>
      </c>
      <c r="F7" s="62" t="s">
        <v>15</v>
      </c>
      <c r="G7" s="62" t="s">
        <v>16</v>
      </c>
      <c r="H7" s="62"/>
      <c r="I7" s="62"/>
      <c r="J7" s="62" t="s">
        <v>16</v>
      </c>
      <c r="K7" s="62"/>
      <c r="L7" s="62"/>
      <c r="M7" s="62" t="s">
        <v>17</v>
      </c>
    </row>
    <row r="8" spans="1:13" s="19" customFormat="1">
      <c r="A8" s="62"/>
      <c r="B8" s="62"/>
      <c r="C8" s="62"/>
      <c r="D8" s="62"/>
      <c r="E8" s="62"/>
      <c r="F8" s="62"/>
      <c r="G8" s="62" t="s">
        <v>18</v>
      </c>
      <c r="H8" s="62"/>
      <c r="I8" s="62"/>
      <c r="J8" s="62" t="s">
        <v>19</v>
      </c>
      <c r="K8" s="62"/>
      <c r="L8" s="62"/>
      <c r="M8" s="62"/>
    </row>
    <row r="9" spans="1:13" s="19" customFormat="1">
      <c r="A9" s="62"/>
      <c r="B9" s="62"/>
      <c r="C9" s="62"/>
      <c r="D9" s="62"/>
      <c r="E9" s="62"/>
      <c r="F9" s="62"/>
      <c r="G9" s="24" t="s">
        <v>20</v>
      </c>
      <c r="H9" s="23" t="s">
        <v>21</v>
      </c>
      <c r="I9" s="34" t="s">
        <v>22</v>
      </c>
      <c r="J9" s="24" t="s">
        <v>20</v>
      </c>
      <c r="K9" s="23" t="s">
        <v>21</v>
      </c>
      <c r="L9" s="34" t="s">
        <v>22</v>
      </c>
      <c r="M9" s="62"/>
    </row>
    <row r="10" spans="1:13" s="19" customFormat="1">
      <c r="A10" s="60" t="s">
        <v>271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s="19" customFormat="1" ht="33.85">
      <c r="A11" s="22" t="s">
        <v>300</v>
      </c>
      <c r="B11" s="18" t="s">
        <v>272</v>
      </c>
      <c r="C11" s="12"/>
      <c r="D11" s="12"/>
      <c r="E11" s="21" t="s">
        <v>39</v>
      </c>
      <c r="F11" s="21" t="s">
        <v>39</v>
      </c>
      <c r="G11" s="33" t="s">
        <v>40</v>
      </c>
      <c r="H11" s="36" t="s">
        <v>54</v>
      </c>
      <c r="I11" s="35" t="s">
        <v>23</v>
      </c>
      <c r="J11" s="14"/>
      <c r="K11" s="20"/>
      <c r="L11" s="13"/>
      <c r="M11" s="12"/>
    </row>
    <row r="12" spans="1:13" s="19" customFormat="1">
      <c r="A12" s="22" t="s">
        <v>301</v>
      </c>
      <c r="B12" s="18" t="s">
        <v>273</v>
      </c>
      <c r="C12" s="12"/>
      <c r="D12" s="12"/>
      <c r="E12" s="21"/>
      <c r="F12" s="21"/>
      <c r="G12" s="33" t="s">
        <v>40</v>
      </c>
      <c r="H12" s="36" t="s">
        <v>54</v>
      </c>
      <c r="I12" s="35" t="s">
        <v>23</v>
      </c>
      <c r="J12" s="14"/>
      <c r="K12" s="20"/>
      <c r="L12" s="13"/>
      <c r="M12" s="12"/>
    </row>
    <row r="13" spans="1:13" s="19" customFormat="1">
      <c r="A13" s="22" t="s">
        <v>302</v>
      </c>
      <c r="B13" s="18" t="s">
        <v>274</v>
      </c>
      <c r="C13" s="12"/>
      <c r="D13" s="12"/>
      <c r="E13" s="21"/>
      <c r="F13" s="21"/>
      <c r="G13" s="33" t="s">
        <v>40</v>
      </c>
      <c r="H13" s="36" t="s">
        <v>54</v>
      </c>
      <c r="I13" s="35" t="s">
        <v>23</v>
      </c>
      <c r="J13" s="14"/>
      <c r="K13" s="20"/>
      <c r="L13" s="13"/>
      <c r="M13" s="12"/>
    </row>
    <row r="14" spans="1:13" s="19" customFormat="1">
      <c r="A14" s="22" t="s">
        <v>303</v>
      </c>
      <c r="B14" s="18" t="s">
        <v>275</v>
      </c>
      <c r="C14" s="12"/>
      <c r="D14" s="12"/>
      <c r="E14" s="21"/>
      <c r="F14" s="21"/>
      <c r="G14" s="33" t="s">
        <v>40</v>
      </c>
      <c r="H14" s="36" t="s">
        <v>54</v>
      </c>
      <c r="I14" s="35" t="s">
        <v>23</v>
      </c>
      <c r="J14" s="14"/>
      <c r="K14" s="20"/>
      <c r="L14" s="13"/>
      <c r="M14" s="12"/>
    </row>
    <row r="15" spans="1:13" s="19" customFormat="1">
      <c r="A15" s="22" t="s">
        <v>304</v>
      </c>
      <c r="B15" s="18" t="s">
        <v>276</v>
      </c>
      <c r="C15" s="12"/>
      <c r="D15" s="12"/>
      <c r="E15" s="21"/>
      <c r="F15" s="21"/>
      <c r="G15" s="33" t="s">
        <v>40</v>
      </c>
      <c r="H15" s="36" t="s">
        <v>54</v>
      </c>
      <c r="I15" s="35" t="s">
        <v>23</v>
      </c>
      <c r="J15" s="14"/>
      <c r="K15" s="20"/>
      <c r="L15" s="13"/>
      <c r="M15" s="12"/>
    </row>
    <row r="16" spans="1:13" s="19" customFormat="1">
      <c r="A16" s="61" t="s">
        <v>277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</row>
    <row r="17" spans="1:13" s="19" customFormat="1" ht="67.650000000000006">
      <c r="A17" s="18" t="s">
        <v>305</v>
      </c>
      <c r="B17" s="17" t="s">
        <v>278</v>
      </c>
      <c r="C17" s="17" t="s">
        <v>279</v>
      </c>
      <c r="D17" s="16" t="s">
        <v>228</v>
      </c>
      <c r="E17" s="1" t="s">
        <v>280</v>
      </c>
      <c r="F17" s="1" t="s">
        <v>280</v>
      </c>
      <c r="G17" s="33" t="s">
        <v>40</v>
      </c>
      <c r="H17" s="36" t="s">
        <v>54</v>
      </c>
      <c r="I17" s="35" t="s">
        <v>23</v>
      </c>
      <c r="J17" s="33" t="s">
        <v>40</v>
      </c>
      <c r="K17" s="36" t="s">
        <v>316</v>
      </c>
      <c r="L17" s="35" t="s">
        <v>23</v>
      </c>
      <c r="M17" s="12"/>
    </row>
    <row r="18" spans="1:13" s="19" customFormat="1" ht="50.75">
      <c r="A18" s="18" t="s">
        <v>306</v>
      </c>
      <c r="B18" s="17" t="s">
        <v>281</v>
      </c>
      <c r="C18" s="17" t="s">
        <v>279</v>
      </c>
      <c r="D18" s="16" t="s">
        <v>228</v>
      </c>
      <c r="E18" s="1" t="s">
        <v>282</v>
      </c>
      <c r="F18" s="1" t="s">
        <v>282</v>
      </c>
      <c r="G18" s="33" t="s">
        <v>40</v>
      </c>
      <c r="H18" s="36" t="s">
        <v>54</v>
      </c>
      <c r="I18" s="35" t="s">
        <v>23</v>
      </c>
      <c r="J18" s="33" t="s">
        <v>40</v>
      </c>
      <c r="K18" s="36" t="s">
        <v>316</v>
      </c>
      <c r="L18" s="35" t="s">
        <v>23</v>
      </c>
      <c r="M18" s="12"/>
    </row>
    <row r="19" spans="1:13" s="19" customFormat="1" ht="67.650000000000006">
      <c r="A19" s="18" t="s">
        <v>307</v>
      </c>
      <c r="B19" s="18" t="s">
        <v>283</v>
      </c>
      <c r="C19" s="17" t="s">
        <v>284</v>
      </c>
      <c r="D19" s="16" t="s">
        <v>228</v>
      </c>
      <c r="E19" s="15" t="s">
        <v>285</v>
      </c>
      <c r="F19" s="15" t="s">
        <v>285</v>
      </c>
      <c r="G19" s="33" t="s">
        <v>40</v>
      </c>
      <c r="H19" s="36" t="s">
        <v>54</v>
      </c>
      <c r="I19" s="35" t="s">
        <v>23</v>
      </c>
      <c r="J19" s="33" t="s">
        <v>40</v>
      </c>
      <c r="K19" s="36" t="s">
        <v>316</v>
      </c>
      <c r="L19" s="35" t="s">
        <v>23</v>
      </c>
      <c r="M19" s="12"/>
    </row>
    <row r="20" spans="1:13" ht="84.55">
      <c r="A20" s="18" t="s">
        <v>308</v>
      </c>
      <c r="B20" s="18" t="s">
        <v>286</v>
      </c>
      <c r="C20" s="17" t="s">
        <v>287</v>
      </c>
      <c r="D20" s="12" t="s">
        <v>288</v>
      </c>
      <c r="E20" s="15" t="s">
        <v>289</v>
      </c>
      <c r="F20" s="15" t="s">
        <v>289</v>
      </c>
      <c r="G20" s="33" t="s">
        <v>40</v>
      </c>
      <c r="H20" s="36" t="s">
        <v>54</v>
      </c>
      <c r="I20" s="35" t="s">
        <v>23</v>
      </c>
      <c r="J20" s="33" t="s">
        <v>40</v>
      </c>
      <c r="K20" s="36" t="s">
        <v>316</v>
      </c>
      <c r="L20" s="35" t="s">
        <v>23</v>
      </c>
      <c r="M20" s="12"/>
    </row>
    <row r="21" spans="1:13" ht="67.650000000000006">
      <c r="A21" s="18" t="s">
        <v>309</v>
      </c>
      <c r="B21" s="18" t="s">
        <v>290</v>
      </c>
      <c r="C21" s="17" t="s">
        <v>291</v>
      </c>
      <c r="D21" s="12" t="s">
        <v>288</v>
      </c>
      <c r="E21" s="15" t="s">
        <v>292</v>
      </c>
      <c r="F21" s="15" t="s">
        <v>292</v>
      </c>
      <c r="G21" s="33" t="s">
        <v>40</v>
      </c>
      <c r="H21" s="36" t="s">
        <v>54</v>
      </c>
      <c r="I21" s="35" t="s">
        <v>23</v>
      </c>
      <c r="J21" s="33" t="s">
        <v>40</v>
      </c>
      <c r="K21" s="36" t="s">
        <v>316</v>
      </c>
      <c r="L21" s="35" t="s">
        <v>23</v>
      </c>
      <c r="M21" s="12"/>
    </row>
    <row r="22" spans="1:13" ht="118.35">
      <c r="A22" s="18" t="s">
        <v>310</v>
      </c>
      <c r="B22" s="17" t="s">
        <v>293</v>
      </c>
      <c r="C22" s="17" t="s">
        <v>294</v>
      </c>
      <c r="D22" s="12" t="s">
        <v>288</v>
      </c>
      <c r="E22" s="15" t="s">
        <v>295</v>
      </c>
      <c r="F22" s="15" t="s">
        <v>296</v>
      </c>
      <c r="G22" s="33" t="s">
        <v>312</v>
      </c>
      <c r="H22" s="36" t="s">
        <v>54</v>
      </c>
      <c r="I22" s="35" t="s">
        <v>23</v>
      </c>
      <c r="J22" s="33" t="s">
        <v>40</v>
      </c>
      <c r="K22" s="36" t="s">
        <v>316</v>
      </c>
      <c r="L22" s="35" t="s">
        <v>23</v>
      </c>
      <c r="M22" s="12"/>
    </row>
    <row r="23" spans="1:13" ht="50.75">
      <c r="A23" s="18" t="s">
        <v>311</v>
      </c>
      <c r="B23" s="17" t="s">
        <v>297</v>
      </c>
      <c r="C23" s="17" t="s">
        <v>298</v>
      </c>
      <c r="D23" s="12" t="s">
        <v>288</v>
      </c>
      <c r="E23" s="15" t="s">
        <v>299</v>
      </c>
      <c r="F23" s="15" t="s">
        <v>299</v>
      </c>
      <c r="G23" s="33" t="s">
        <v>40</v>
      </c>
      <c r="H23" s="36" t="s">
        <v>54</v>
      </c>
      <c r="I23" s="35" t="s">
        <v>23</v>
      </c>
      <c r="J23" s="33" t="s">
        <v>40</v>
      </c>
      <c r="K23" s="36" t="s">
        <v>316</v>
      </c>
      <c r="L23" s="35" t="s">
        <v>23</v>
      </c>
      <c r="M23" s="12"/>
    </row>
  </sheetData>
  <mergeCells count="15">
    <mergeCell ref="B1:F1"/>
    <mergeCell ref="B2:F2"/>
    <mergeCell ref="A7:A9"/>
    <mergeCell ref="B7:B9"/>
    <mergeCell ref="C7:C9"/>
    <mergeCell ref="D7:D9"/>
    <mergeCell ref="E7:E9"/>
    <mergeCell ref="F7:F9"/>
    <mergeCell ref="A10:M10"/>
    <mergeCell ref="A16:M16"/>
    <mergeCell ref="G7:I7"/>
    <mergeCell ref="J7:L7"/>
    <mergeCell ref="M7:M9"/>
    <mergeCell ref="G8:I8"/>
    <mergeCell ref="J8:L8"/>
  </mergeCells>
  <phoneticPr fontId="8" type="noConversion"/>
  <conditionalFormatting sqref="G11:G15">
    <cfRule type="containsText" dxfId="8" priority="17" operator="containsText" text="Pass">
      <formula>NOT(ISERROR(SEARCH("Pass",G11)))</formula>
    </cfRule>
    <cfRule type="containsText" dxfId="7" priority="18" operator="containsText" text="Fail">
      <formula>NOT(ISERROR(SEARCH("Fail",G11)))</formula>
    </cfRule>
    <cfRule type="containsText" dxfId="6" priority="19" operator="containsText" text="Pass">
      <formula>NOT(ISERROR(SEARCH("Pass",G11)))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3">
    <cfRule type="containsText" dxfId="5" priority="5" operator="containsText" text="Pass">
      <formula>NOT(ISERROR(SEARCH("Pass",G17)))</formula>
    </cfRule>
    <cfRule type="containsText" dxfId="4" priority="6" operator="containsText" text="Fail">
      <formula>NOT(ISERROR(SEARCH("Fail",G17)))</formula>
    </cfRule>
    <cfRule type="containsText" dxfId="3" priority="7" operator="containsText" text="Pass">
      <formula>NOT(ISERROR(SEARCH("Pass",G17)))</formula>
    </cfRule>
  </conditionalFormatting>
  <conditionalFormatting sqref="G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J23">
    <cfRule type="containsText" dxfId="2" priority="1" operator="containsText" text="Pass">
      <formula>NOT(ISERROR(SEARCH("Pass",J17)))</formula>
    </cfRule>
    <cfRule type="containsText" dxfId="1" priority="2" operator="containsText" text="Fail">
      <formula>NOT(ISERROR(SEARCH("Fail",J17)))</formula>
    </cfRule>
    <cfRule type="containsText" dxfId="0" priority="3" operator="containsText" text="Pass">
      <formula>NOT(ISERROR(SEARCH("Pass",J17)))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operator="equal" allowBlank="1" showErrorMessage="1" promptTitle="dfdf" sqref="J11:J15" xr:uid="{00000000-0002-0000-0400-000000000000}">
      <formula1>"Passed,Untested,Failed,Blocked"</formula1>
      <formula2>0</formula2>
    </dataValidation>
    <dataValidation type="list" allowBlank="1" showErrorMessage="1" sqref="G11:G15 G17:G23 J17:J23" xr:uid="{183A2FF0-D9A0-4ECA-ABC0-715FDDDB296D}">
      <formula1>"Pass,Fail"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Trường hợp kiểm thử</vt:lpstr>
      <vt:lpstr>Thống kê và báo cáo</vt:lpstr>
      <vt:lpstr>Quản lý tài khoản người dùng</vt:lpstr>
      <vt:lpstr>Tổng quan hệ thống</vt:lpstr>
      <vt:lpstr>Theo dõi hoạt động người dùng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Nhi Trần</cp:lastModifiedBy>
  <cp:revision/>
  <dcterms:created xsi:type="dcterms:W3CDTF">2021-04-26T08:47:37Z</dcterms:created>
  <dcterms:modified xsi:type="dcterms:W3CDTF">2026-04-20T15:59:44Z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2024-11-14T08:58:05Z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ed9d25fb-943b-47a7-96c4-91b974a6cf58</vt:lpwstr>
  </property>
  <property fmtid="{D5CDD505-2E9C-101B-9397-08002B2CF9AE}" pid="8" name="MSIP_Label_defa4170-0d19-0005-0004-bc88714345d2_ContentBits">
    <vt:lpwstr>0</vt:lpwstr>
  </property>
</Properties>
</file>