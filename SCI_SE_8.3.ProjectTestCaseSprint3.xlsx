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defaultThemeVersion="124226"/>
  <xr:revisionPtr revIDLastSave="0" documentId="13_ncr:1_{496BB2B2-BD93-4FF2-8AFF-E234805C0841}" xr6:coauthVersionLast="47" xr6:coauthVersionMax="47" xr10:uidLastSave="{00000000-0000-0000-0000-000000000000}"/>
  <bookViews>
    <workbookView xWindow="-113" yWindow="-113" windowWidth="24267" windowHeight="13023" tabRatio="810" xr2:uid="{00000000-000D-0000-FFFF-FFFF00000000}"/>
  </bookViews>
  <sheets>
    <sheet name="Trường hợp kiểm thử" sheetId="1" r:id="rId1"/>
    <sheet name="Sheet1" sheetId="35" r:id="rId2"/>
    <sheet name="Báo cáo kiểm tra" sheetId="10" state="hidden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0" l="1"/>
  <c r="D21" i="10"/>
  <c r="K21" i="10"/>
  <c r="L21" i="10"/>
  <c r="P18" i="10"/>
  <c r="O19" i="10"/>
  <c r="P20" i="10"/>
  <c r="N18" i="10"/>
  <c r="N19" i="10"/>
  <c r="N20" i="10"/>
  <c r="M14" i="10"/>
  <c r="M12" i="10"/>
  <c r="M16" i="10"/>
  <c r="M17" i="10"/>
  <c r="M18" i="10"/>
  <c r="M19" i="10"/>
  <c r="M20" i="10"/>
  <c r="J19" i="10"/>
  <c r="J17" i="10"/>
  <c r="I20" i="10"/>
  <c r="I18" i="10"/>
  <c r="H20" i="10"/>
  <c r="H18" i="10"/>
  <c r="G20" i="10"/>
  <c r="G18" i="10"/>
  <c r="F19" i="10"/>
  <c r="P19" i="10" s="1"/>
  <c r="E20" i="10"/>
  <c r="O20" i="10" s="1"/>
  <c r="E18" i="10"/>
  <c r="O18" i="10" s="1"/>
  <c r="H17" i="10" l="1"/>
  <c r="F17" i="10"/>
  <c r="P17" i="10" s="1"/>
  <c r="N17" i="10"/>
  <c r="I17" i="10"/>
  <c r="G17" i="10"/>
  <c r="E17" i="10"/>
  <c r="O17" i="10" l="1"/>
  <c r="M10" i="10"/>
  <c r="M21" i="10" s="1"/>
  <c r="N14" i="10" l="1"/>
  <c r="J12" i="10"/>
  <c r="I12" i="10"/>
  <c r="H12" i="10"/>
  <c r="G12" i="10"/>
  <c r="F12" i="10"/>
  <c r="J10" i="10"/>
  <c r="I10" i="10"/>
  <c r="H10" i="10"/>
  <c r="G10" i="10"/>
  <c r="F10" i="10"/>
  <c r="J14" i="10"/>
  <c r="H14" i="10"/>
  <c r="F14" i="10"/>
  <c r="P14" i="10" s="1"/>
  <c r="I14" i="10"/>
  <c r="G14" i="10"/>
  <c r="E14" i="10"/>
  <c r="E21" i="10" s="1"/>
  <c r="C23" i="10" s="1"/>
  <c r="F21" i="10" l="1"/>
  <c r="D23" i="10" s="1"/>
  <c r="J21" i="10"/>
  <c r="G21" i="10"/>
  <c r="H21" i="10"/>
  <c r="I21" i="10"/>
  <c r="O14" i="10"/>
  <c r="P12" i="10"/>
  <c r="P10" i="10"/>
  <c r="O10" i="10"/>
  <c r="N12" i="10"/>
  <c r="N10" i="10"/>
  <c r="O12" i="10"/>
  <c r="P21" i="10" l="1"/>
  <c r="N21" i="10"/>
  <c r="O21" i="10"/>
  <c r="D24" i="10"/>
  <c r="C24" i="10"/>
</calcChain>
</file>

<file path=xl/sharedStrings.xml><?xml version="1.0" encoding="utf-8"?>
<sst xmlns="http://schemas.openxmlformats.org/spreadsheetml/2006/main" count="71" uniqueCount="49">
  <si>
    <t>TEST CASE SYSTEM SPRINT 3</t>
  </si>
  <si>
    <t>Tên dự án</t>
  </si>
  <si>
    <t>STT</t>
  </si>
  <si>
    <t>Chức năng</t>
  </si>
  <si>
    <t>Sheet Name</t>
  </si>
  <si>
    <t>Mô tả</t>
  </si>
  <si>
    <t>Báo cáo thử nghiệm</t>
  </si>
  <si>
    <t>Website bán thời trang</t>
  </si>
  <si>
    <t>Creator</t>
  </si>
  <si>
    <t>Phạm Nguyễn Đình huy</t>
  </si>
  <si>
    <t>Người đánh giá/phê duyệt</t>
  </si>
  <si>
    <t>Cả nhóm</t>
  </si>
  <si>
    <t>Ngày triển khai</t>
  </si>
  <si>
    <t>Ghi chú</t>
  </si>
  <si>
    <t>Tính năng đang chờ xử lý :</t>
  </si>
  <si>
    <t>Hoàn thành</t>
  </si>
  <si>
    <t>Lỗi</t>
  </si>
  <si>
    <t>Chưa Kiểm tra</t>
  </si>
  <si>
    <t>Bị chặn</t>
  </si>
  <si>
    <t>Số trường hợp thử nghiệm</t>
  </si>
  <si>
    <t>% Thành công</t>
  </si>
  <si>
    <t xml:space="preserve">% Coverage 
</t>
  </si>
  <si>
    <t>Tên hiển thị</t>
  </si>
  <si>
    <t>Vòng 1</t>
  </si>
  <si>
    <t>Vòng 2</t>
  </si>
  <si>
    <t>Đăng nhập</t>
  </si>
  <si>
    <t>Quản lý sản phẩm</t>
  </si>
  <si>
    <t>Quản lý danh mục</t>
  </si>
  <si>
    <t>Quản lý nhãn hiệu</t>
  </si>
  <si>
    <t>Quản lý mã khuyến mãi</t>
  </si>
  <si>
    <t>Quản lý hóa đơn</t>
  </si>
  <si>
    <t>Quản lý tài khoản người dùng</t>
  </si>
  <si>
    <t>Quản lý bài viết</t>
  </si>
  <si>
    <t>Quản lý bình luận</t>
  </si>
  <si>
    <t>Tìm kiếm</t>
  </si>
  <si>
    <t>Quản lý thống kê</t>
  </si>
  <si>
    <t>Sub total</t>
  </si>
  <si>
    <t>Vòng2</t>
  </si>
  <si>
    <t>Kiểm tra phủ sóng</t>
  </si>
  <si>
    <t>%</t>
  </si>
  <si>
    <t>Kiểm tra thành công phủ sống</t>
  </si>
  <si>
    <t>Hoàng</t>
  </si>
  <si>
    <t>Thiết kế và phát triển nền tảng học tập thông minh tích hợp trợ lý ảo AI và cá nhân hoá lộ trình học tập</t>
  </si>
  <si>
    <t>Số lượng test</t>
  </si>
  <si>
    <t>Nhi</t>
  </si>
  <si>
    <t>Hằng</t>
  </si>
  <si>
    <t>Theo dõi hoạt động người dùng</t>
  </si>
  <si>
    <t>Xem thống kê và báo cáo hệ thống</t>
  </si>
  <si>
    <t>Tổng quan hệ thống quản trị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</si>
</sst>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6" formatCode="0;[Red]0"/>
  </numFmts>
  <fonts count="18">
    <font>
      <sz val="11"/>
      <color theme="1"/>
      <name val="Calibri"/>
      <family val="2"/>
      <scheme val="minor"/>
    </font>
    <font>
      <sz val="10"/>
      <name val="Arial2"/>
    </font>
    <font>
      <sz val="10"/>
      <name val="FreeSans"/>
      <family val="2"/>
    </font>
    <font>
      <b/>
      <sz val="13"/>
      <color indexed="9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b/>
      <sz val="20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indexed="9"/>
      <name val="Times New Roman"/>
      <family val="1"/>
    </font>
    <font>
      <b/>
      <sz val="13"/>
      <name val="Times New Roman"/>
      <family val="1"/>
    </font>
    <font>
      <sz val="16"/>
      <name val="Times New Roman"/>
      <family val="1"/>
    </font>
    <font>
      <b/>
      <sz val="13"/>
      <color theme="1"/>
      <name val="Times New Roman"/>
      <family val="1"/>
    </font>
    <font>
      <b/>
      <i/>
      <sz val="13"/>
      <color indexed="57"/>
      <name val="Times New Roman"/>
      <family val="1"/>
    </font>
    <font>
      <i/>
      <sz val="13"/>
      <name val="Times New Roman"/>
      <family val="1"/>
    </font>
    <font>
      <sz val="13"/>
      <color indexed="9"/>
      <name val="Times New Roman"/>
      <family val="1"/>
    </font>
    <font>
      <sz val="13"/>
      <color rgb="FF00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21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theme="8" tint="0.59999389629810485"/>
        <bgColor indexed="38"/>
      </patternFill>
    </fill>
    <fill>
      <patternFill patternType="solid">
        <fgColor theme="0"/>
        <bgColor indexed="3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 style="medium">
        <color indexed="8"/>
      </left>
      <right/>
      <top style="medium">
        <color indexed="8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Border="0" applyProtection="0">
      <alignment vertical="center"/>
    </xf>
    <xf numFmtId="9" fontId="2" fillId="0" borderId="0" applyBorder="0" applyProtection="0"/>
  </cellStyleXfs>
  <cellXfs count="92">
    <xf numFmtId="0" fontId="0" fillId="0" borderId="0" xfId="0"/>
    <xf numFmtId="0" fontId="7" fillId="0" borderId="0" xfId="1" applyFont="1" applyBorder="1" applyProtection="1">
      <alignment vertical="center"/>
    </xf>
    <xf numFmtId="0" fontId="8" fillId="0" borderId="0" xfId="1" applyFont="1" applyBorder="1" applyAlignment="1" applyProtection="1"/>
    <xf numFmtId="0" fontId="7" fillId="0" borderId="0" xfId="1" applyFont="1" applyBorder="1" applyAlignment="1" applyProtection="1"/>
    <xf numFmtId="164" fontId="7" fillId="0" borderId="0" xfId="1" applyNumberFormat="1" applyFont="1" applyBorder="1" applyAlignment="1" applyProtection="1"/>
    <xf numFmtId="0" fontId="10" fillId="0" borderId="0" xfId="1" applyFont="1" applyBorder="1" applyProtection="1">
      <alignment vertical="center"/>
    </xf>
    <xf numFmtId="0" fontId="7" fillId="3" borderId="0" xfId="1" applyFont="1" applyFill="1" applyBorder="1" applyProtection="1">
      <alignment vertical="center"/>
    </xf>
    <xf numFmtId="0" fontId="9" fillId="0" borderId="0" xfId="0" applyFont="1"/>
    <xf numFmtId="0" fontId="5" fillId="0" borderId="0" xfId="0" applyFont="1"/>
    <xf numFmtId="0" fontId="4" fillId="0" borderId="11" xfId="1" applyFont="1" applyBorder="1" applyAlignment="1" applyProtection="1">
      <alignment horizontal="center"/>
    </xf>
    <xf numFmtId="166" fontId="4" fillId="0" borderId="11" xfId="2" applyNumberFormat="1" applyFont="1" applyBorder="1" applyAlignment="1" applyProtection="1">
      <alignment horizontal="center"/>
    </xf>
    <xf numFmtId="1" fontId="4" fillId="0" borderId="11" xfId="2" applyNumberFormat="1" applyFont="1" applyBorder="1" applyAlignment="1" applyProtection="1">
      <alignment horizontal="center"/>
    </xf>
    <xf numFmtId="0" fontId="4" fillId="3" borderId="0" xfId="1" applyFont="1" applyFill="1" applyBorder="1" applyAlignment="1" applyProtection="1">
      <alignment horizontal="center"/>
    </xf>
    <xf numFmtId="0" fontId="3" fillId="3" borderId="2" xfId="1" applyFont="1" applyFill="1" applyBorder="1" applyAlignment="1" applyProtection="1"/>
    <xf numFmtId="0" fontId="11" fillId="3" borderId="3" xfId="1" applyFont="1" applyFill="1" applyBorder="1" applyAlignment="1" applyProtection="1">
      <alignment horizontal="center"/>
    </xf>
    <xf numFmtId="0" fontId="16" fillId="3" borderId="4" xfId="1" applyFont="1" applyFill="1" applyBorder="1" applyAlignment="1" applyProtection="1">
      <alignment horizontal="center"/>
    </xf>
    <xf numFmtId="0" fontId="16" fillId="3" borderId="0" xfId="1" applyFont="1" applyFill="1" applyBorder="1" applyAlignment="1" applyProtection="1">
      <alignment horizontal="center"/>
    </xf>
    <xf numFmtId="0" fontId="3" fillId="3" borderId="0" xfId="1" applyFont="1" applyFill="1" applyBorder="1" applyAlignment="1" applyProtection="1">
      <alignment horizontal="center"/>
    </xf>
    <xf numFmtId="9" fontId="16" fillId="3" borderId="0" xfId="2" applyFont="1" applyFill="1" applyBorder="1" applyAlignment="1" applyProtection="1">
      <alignment horizontal="center"/>
    </xf>
    <xf numFmtId="0" fontId="4" fillId="0" borderId="0" xfId="1" applyFont="1" applyBorder="1" applyAlignment="1" applyProtection="1"/>
    <xf numFmtId="0" fontId="11" fillId="0" borderId="5" xfId="1" applyFont="1" applyBorder="1" applyAlignment="1" applyProtection="1">
      <alignment horizontal="left"/>
    </xf>
    <xf numFmtId="0" fontId="4" fillId="0" borderId="6" xfId="1" applyFont="1" applyBorder="1" applyAlignment="1" applyProtection="1"/>
    <xf numFmtId="0" fontId="4" fillId="0" borderId="5" xfId="1" applyFont="1" applyBorder="1" applyAlignment="1" applyProtection="1"/>
    <xf numFmtId="2" fontId="11" fillId="0" borderId="1" xfId="1" applyNumberFormat="1" applyFont="1" applyBorder="1" applyAlignment="1" applyProtection="1">
      <alignment horizontal="right" wrapText="1"/>
    </xf>
    <xf numFmtId="0" fontId="4" fillId="0" borderId="0" xfId="1" applyFont="1" applyBorder="1" applyProtection="1">
      <alignment vertical="center"/>
    </xf>
    <xf numFmtId="0" fontId="4" fillId="0" borderId="0" xfId="1" applyFont="1" applyBorder="1" applyAlignment="1" applyProtection="1">
      <alignment horizontal="center" wrapText="1"/>
    </xf>
    <xf numFmtId="0" fontId="11" fillId="0" borderId="7" xfId="1" applyFont="1" applyBorder="1" applyAlignment="1" applyProtection="1">
      <alignment horizontal="left"/>
    </xf>
    <xf numFmtId="0" fontId="4" fillId="0" borderId="8" xfId="1" applyFont="1" applyBorder="1" applyAlignment="1" applyProtection="1"/>
    <xf numFmtId="0" fontId="4" fillId="0" borderId="9" xfId="1" applyFont="1" applyBorder="1" applyAlignment="1" applyProtection="1"/>
    <xf numFmtId="2" fontId="11" fillId="0" borderId="10" xfId="1" applyNumberFormat="1" applyFont="1" applyBorder="1" applyAlignment="1" applyProtection="1">
      <alignment horizontal="right" wrapText="1"/>
    </xf>
    <xf numFmtId="9" fontId="16" fillId="3" borderId="12" xfId="2" applyFont="1" applyFill="1" applyBorder="1" applyAlignment="1" applyProtection="1">
      <alignment horizontal="center"/>
    </xf>
    <xf numFmtId="0" fontId="4" fillId="0" borderId="12" xfId="1" applyFont="1" applyBorder="1" applyAlignment="1" applyProtection="1">
      <alignment horizontal="center" wrapText="1"/>
    </xf>
    <xf numFmtId="0" fontId="5" fillId="0" borderId="11" xfId="0" applyFont="1" applyBorder="1" applyAlignment="1">
      <alignment horizontal="center"/>
    </xf>
    <xf numFmtId="0" fontId="4" fillId="2" borderId="11" xfId="1" applyFont="1" applyFill="1" applyBorder="1" applyAlignment="1" applyProtection="1">
      <alignment horizontal="center"/>
    </xf>
    <xf numFmtId="0" fontId="3" fillId="2" borderId="11" xfId="1" applyFont="1" applyFill="1" applyBorder="1" applyAlignment="1" applyProtection="1"/>
    <xf numFmtId="166" fontId="3" fillId="2" borderId="11" xfId="1" applyNumberFormat="1" applyFont="1" applyFill="1" applyBorder="1" applyAlignment="1" applyProtection="1">
      <alignment horizont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/>
    <xf numFmtId="0" fontId="4" fillId="0" borderId="13" xfId="1" applyFont="1" applyBorder="1" applyAlignment="1" applyProtection="1">
      <alignment horizontal="center" wrapText="1"/>
    </xf>
    <xf numFmtId="0" fontId="17" fillId="0" borderId="11" xfId="0" applyFont="1" applyBorder="1" applyAlignment="1">
      <alignment horizontal="center" vertical="center"/>
    </xf>
    <xf numFmtId="0" fontId="4" fillId="0" borderId="14" xfId="1" applyFont="1" applyBorder="1" applyAlignment="1" applyProtection="1"/>
    <xf numFmtId="0" fontId="4" fillId="0" borderId="14" xfId="1" applyFont="1" applyBorder="1" applyProtection="1">
      <alignment vertical="center"/>
    </xf>
    <xf numFmtId="0" fontId="4" fillId="0" borderId="14" xfId="1" applyFont="1" applyBorder="1" applyAlignment="1" applyProtection="1">
      <alignment horizontal="center" wrapText="1"/>
    </xf>
    <xf numFmtId="0" fontId="5" fillId="0" borderId="11" xfId="0" applyFont="1" applyBorder="1" applyAlignment="1">
      <alignment wrapText="1"/>
    </xf>
    <xf numFmtId="0" fontId="11" fillId="0" borderId="16" xfId="1" applyFont="1" applyBorder="1" applyAlignment="1" applyProtection="1">
      <alignment horizontal="center" vertical="center"/>
    </xf>
    <xf numFmtId="0" fontId="11" fillId="0" borderId="16" xfId="1" applyFont="1" applyBorder="1" applyAlignment="1" applyProtection="1">
      <alignment horizontal="center"/>
    </xf>
    <xf numFmtId="0" fontId="11" fillId="0" borderId="16" xfId="1" applyFont="1" applyBorder="1" applyAlignment="1" applyProtection="1">
      <alignment horizontal="center" vertical="top"/>
    </xf>
    <xf numFmtId="0" fontId="5" fillId="0" borderId="16" xfId="0" applyFont="1" applyBorder="1" applyAlignment="1">
      <alignment horizontal="center"/>
    </xf>
    <xf numFmtId="0" fontId="11" fillId="0" borderId="15" xfId="1" applyFont="1" applyBorder="1" applyProtection="1">
      <alignment vertical="center"/>
    </xf>
    <xf numFmtId="0" fontId="14" fillId="0" borderId="15" xfId="1" applyFont="1" applyBorder="1" applyAlignment="1" applyProtection="1">
      <alignment vertical="top" wrapText="1"/>
    </xf>
    <xf numFmtId="0" fontId="4" fillId="0" borderId="15" xfId="1" applyFont="1" applyBorder="1" applyAlignment="1" applyProtection="1">
      <alignment wrapText="1"/>
    </xf>
    <xf numFmtId="0" fontId="11" fillId="0" borderId="20" xfId="1" applyFont="1" applyBorder="1" applyProtection="1">
      <alignment vertical="center"/>
    </xf>
    <xf numFmtId="0" fontId="14" fillId="0" borderId="20" xfId="1" applyFont="1" applyBorder="1" applyAlignment="1" applyProtection="1">
      <alignment vertical="top" wrapText="1"/>
    </xf>
    <xf numFmtId="0" fontId="11" fillId="0" borderId="20" xfId="1" applyFont="1" applyBorder="1" applyAlignment="1" applyProtection="1"/>
    <xf numFmtId="0" fontId="15" fillId="0" borderId="20" xfId="1" applyFont="1" applyBorder="1" applyAlignment="1" applyProtection="1"/>
    <xf numFmtId="0" fontId="3" fillId="2" borderId="20" xfId="1" applyFont="1" applyFill="1" applyBorder="1" applyAlignment="1" applyProtection="1">
      <alignment horizontal="center" vertical="center"/>
    </xf>
    <xf numFmtId="0" fontId="3" fillId="2" borderId="20" xfId="1" applyFont="1" applyFill="1" applyBorder="1" applyAlignment="1" applyProtection="1">
      <alignment horizontal="center" vertical="center" wrapText="1"/>
    </xf>
    <xf numFmtId="0" fontId="12" fillId="0" borderId="16" xfId="0" applyFont="1" applyBorder="1" applyAlignment="1">
      <alignment horizontal="center"/>
    </xf>
    <xf numFmtId="0" fontId="12" fillId="0" borderId="16" xfId="0" applyFont="1" applyBorder="1" applyAlignment="1">
      <alignment vertical="center" wrapText="1"/>
    </xf>
    <xf numFmtId="0" fontId="4" fillId="0" borderId="20" xfId="1" applyFont="1" applyBorder="1" applyAlignment="1" applyProtection="1">
      <alignment horizontal="center"/>
    </xf>
    <xf numFmtId="166" fontId="4" fillId="0" borderId="20" xfId="2" applyNumberFormat="1" applyFont="1" applyBorder="1" applyAlignment="1" applyProtection="1">
      <alignment horizontal="center"/>
    </xf>
    <xf numFmtId="1" fontId="4" fillId="0" borderId="20" xfId="2" applyNumberFormat="1" applyFont="1" applyBorder="1" applyAlignment="1" applyProtection="1">
      <alignment horizontal="center"/>
    </xf>
    <xf numFmtId="0" fontId="12" fillId="0" borderId="15" xfId="0" applyFont="1" applyBorder="1" applyAlignment="1">
      <alignment horizontal="center"/>
    </xf>
    <xf numFmtId="0" fontId="12" fillId="0" borderId="15" xfId="0" applyFont="1" applyBorder="1" applyAlignment="1">
      <alignment vertical="center" wrapText="1"/>
    </xf>
    <xf numFmtId="0" fontId="12" fillId="0" borderId="21" xfId="0" applyFont="1" applyBorder="1" applyAlignment="1">
      <alignment horizontal="center"/>
    </xf>
    <xf numFmtId="0" fontId="12" fillId="0" borderId="21" xfId="0" applyFont="1" applyBorder="1" applyAlignment="1">
      <alignment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/>
    </xf>
    <xf numFmtId="0" fontId="17" fillId="7" borderId="11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justify" vertical="center" wrapText="1"/>
    </xf>
    <xf numFmtId="0" fontId="17" fillId="0" borderId="11" xfId="0" applyFont="1" applyBorder="1" applyAlignment="1">
      <alignment horizontal="justify" vertical="center"/>
    </xf>
    <xf numFmtId="0" fontId="5" fillId="6" borderId="11" xfId="0" applyFont="1" applyFill="1" applyBorder="1"/>
    <xf numFmtId="0" fontId="17" fillId="0" borderId="11" xfId="0" applyFont="1" applyBorder="1" applyAlignment="1">
      <alignment vertical="center"/>
    </xf>
    <xf numFmtId="0" fontId="13" fillId="0" borderId="11" xfId="0" applyFont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center"/>
    </xf>
    <xf numFmtId="0" fontId="11" fillId="0" borderId="16" xfId="1" applyFont="1" applyBorder="1" applyAlignment="1" applyProtection="1">
      <alignment horizontal="left"/>
    </xf>
    <xf numFmtId="0" fontId="11" fillId="0" borderId="17" xfId="1" applyFont="1" applyBorder="1" applyAlignment="1" applyProtection="1">
      <alignment horizontal="center" vertical="top"/>
    </xf>
    <xf numFmtId="0" fontId="11" fillId="0" borderId="18" xfId="1" applyFont="1" applyBorder="1" applyAlignment="1" applyProtection="1">
      <alignment horizontal="center" vertical="top"/>
    </xf>
    <xf numFmtId="0" fontId="11" fillId="0" borderId="19" xfId="1" applyFont="1" applyBorder="1" applyAlignment="1" applyProtection="1">
      <alignment horizontal="center" vertical="top"/>
    </xf>
    <xf numFmtId="0" fontId="13" fillId="0" borderId="17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3" fillId="0" borderId="19" xfId="0" applyFont="1" applyBorder="1" applyAlignment="1">
      <alignment horizontal="center"/>
    </xf>
    <xf numFmtId="0" fontId="6" fillId="0" borderId="0" xfId="1" applyFont="1" applyBorder="1" applyAlignment="1" applyProtection="1">
      <alignment horizontal="center"/>
    </xf>
    <xf numFmtId="0" fontId="11" fillId="0" borderId="16" xfId="1" applyFont="1" applyBorder="1" applyAlignment="1" applyProtection="1">
      <alignment horizontal="center"/>
    </xf>
    <xf numFmtId="164" fontId="11" fillId="0" borderId="20" xfId="1" applyNumberFormat="1" applyFont="1" applyBorder="1" applyAlignment="1" applyProtection="1">
      <alignment horizontal="center" vertical="center"/>
    </xf>
    <xf numFmtId="0" fontId="11" fillId="0" borderId="20" xfId="1" applyFont="1" applyBorder="1" applyAlignment="1" applyProtection="1">
      <alignment horizontal="center" vertical="center" wrapText="1"/>
    </xf>
    <xf numFmtId="0" fontId="14" fillId="0" borderId="15" xfId="1" applyFont="1" applyBorder="1" applyAlignment="1" applyProtection="1">
      <alignment vertical="top" wrapText="1"/>
    </xf>
    <xf numFmtId="0" fontId="11" fillId="0" borderId="20" xfId="1" applyFont="1" applyBorder="1" applyAlignment="1" applyProtection="1">
      <alignment horizontal="center" vertical="center"/>
    </xf>
    <xf numFmtId="15" fontId="5" fillId="0" borderId="17" xfId="0" applyNumberFormat="1" applyFont="1" applyBorder="1" applyAlignment="1">
      <alignment horizontal="center"/>
    </xf>
    <xf numFmtId="15" fontId="5" fillId="0" borderId="18" xfId="0" applyNumberFormat="1" applyFont="1" applyBorder="1" applyAlignment="1">
      <alignment horizontal="center"/>
    </xf>
    <xf numFmtId="15" fontId="5" fillId="0" borderId="19" xfId="0" applyNumberFormat="1" applyFont="1" applyBorder="1" applyAlignment="1">
      <alignment horizontal="center"/>
    </xf>
  </cellXfs>
  <cellStyles count="3">
    <cellStyle name="Normal" xfId="0" builtinId="0"/>
    <cellStyle name="Normal 10" xfId="1" xr:uid="{00000000-0005-0000-0000-000001000000}"/>
    <cellStyle name="Percent 2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PC/Desktop/DoAnBaoVe2018/DoAnNam2018/BUSMAP-PROJECT/6.%20Testing/Test%20Case/(BMS)Test%20case-Sprint%201-ver1.0.xlsx" TargetMode="External"/><Relationship Id="rId1" Type="http://schemas.openxmlformats.org/officeDocument/2006/relationships/externalLinkPath" Target="/Users/PC/Desktop/DoAnBaoVe2018/DoAnNam2018/BUSMAP-PROJECT/6.%20Testing/Test%20Case/(BMS)Test%20case-Sprint%201-ver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dmin_Test_Case_List"/>
      <sheetName val="Test_Report"/>
      <sheetName val="Home page"/>
      <sheetName val="Home page-Test"/>
      <sheetName val="Show Bus Routes List"/>
      <sheetName val="Show Bus Routes List-Test"/>
      <sheetName val="Show Bus Stops List"/>
      <sheetName val="Show Bus Stops List-Test"/>
      <sheetName val="Display Bus Route on the Map"/>
      <sheetName val="Display Bus Route on the Map-Te"/>
      <sheetName val="Home Page(App)"/>
      <sheetName val="Show Bus Routes List(App)"/>
      <sheetName val="Show Bus Stops List(App)"/>
      <sheetName val="Display Bus Route on the Map(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5" refreshError="1"/>
      <sheetData sheetId="6" refreshError="1">
        <row r="5">
          <cell r="B5">
            <v>27</v>
          </cell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73" zoomScaleNormal="100" workbookViewId="0">
      <selection activeCell="G20" sqref="G20"/>
    </sheetView>
  </sheetViews>
  <sheetFormatPr defaultColWidth="9.109375" defaultRowHeight="16.899999999999999"/>
  <cols>
    <col min="1" max="1" width="11.109375" style="8" bestFit="1" customWidth="1"/>
    <col min="2" max="2" width="42.109375" style="8" customWidth="1"/>
    <col min="3" max="3" width="44.33203125" style="8" customWidth="1"/>
    <col min="4" max="4" width="17.21875" style="8" customWidth="1"/>
    <col min="5" max="5" width="21.109375" style="8" customWidth="1"/>
    <col min="6" max="16384" width="9.109375" style="8"/>
  </cols>
  <sheetData>
    <row r="1" spans="1:5" ht="16.899999999999999" customHeight="1">
      <c r="A1" s="73" t="s">
        <v>0</v>
      </c>
      <c r="B1" s="73"/>
      <c r="C1" s="73"/>
      <c r="D1" s="73"/>
      <c r="E1" s="73"/>
    </row>
    <row r="2" spans="1:5" ht="16.899999999999999" customHeight="1">
      <c r="A2" s="73"/>
      <c r="B2" s="73"/>
      <c r="C2" s="73"/>
      <c r="D2" s="73"/>
      <c r="E2" s="73"/>
    </row>
    <row r="3" spans="1:5" ht="36.950000000000003" customHeight="1">
      <c r="A3" s="66" t="s">
        <v>1</v>
      </c>
      <c r="B3" s="74" t="s">
        <v>42</v>
      </c>
      <c r="C3" s="74"/>
      <c r="D3" s="74"/>
      <c r="E3" s="71"/>
    </row>
    <row r="4" spans="1:5" ht="20.7" customHeight="1">
      <c r="A4" s="67" t="s">
        <v>2</v>
      </c>
      <c r="B4" s="67" t="s">
        <v>3</v>
      </c>
      <c r="C4" s="67" t="s">
        <v>4</v>
      </c>
      <c r="D4" s="67" t="s">
        <v>43</v>
      </c>
      <c r="E4" s="67" t="s">
        <v>5</v>
      </c>
    </row>
    <row r="5" spans="1:5">
      <c r="A5" s="36">
        <v>1</v>
      </c>
      <c r="B5" s="72" t="s">
        <v>48</v>
      </c>
      <c r="C5" s="72" t="s">
        <v>48</v>
      </c>
      <c r="D5" s="37">
        <v>0</v>
      </c>
      <c r="E5" s="39" t="s">
        <v>41</v>
      </c>
    </row>
    <row r="6" spans="1:5">
      <c r="A6" s="36">
        <v>2</v>
      </c>
      <c r="B6" s="70" t="s">
        <v>31</v>
      </c>
      <c r="C6" s="70" t="s">
        <v>31</v>
      </c>
      <c r="D6" s="37">
        <v>0</v>
      </c>
      <c r="E6" s="39" t="s">
        <v>44</v>
      </c>
    </row>
    <row r="7" spans="1:5">
      <c r="A7" s="36">
        <v>3</v>
      </c>
      <c r="B7" s="69" t="s">
        <v>46</v>
      </c>
      <c r="C7" s="69" t="s">
        <v>46</v>
      </c>
      <c r="D7" s="43">
        <v>0</v>
      </c>
      <c r="E7" s="68" t="s">
        <v>41</v>
      </c>
    </row>
    <row r="8" spans="1:5" ht="20.7" customHeight="1">
      <c r="A8" s="36">
        <v>4</v>
      </c>
      <c r="B8" s="69" t="s">
        <v>47</v>
      </c>
      <c r="C8" s="69" t="s">
        <v>47</v>
      </c>
      <c r="D8" s="43">
        <v>0</v>
      </c>
      <c r="E8" s="68" t="s">
        <v>45</v>
      </c>
    </row>
  </sheetData>
  <mergeCells count="2">
    <mergeCell ref="A1:E2"/>
    <mergeCell ref="B3:D3"/>
  </mergeCells>
  <pageMargins left="0.7" right="0.7" top="0.75" bottom="0.75" header="0.3" footer="0.3"/>
  <pageSetup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122D-E0CF-4D98-B40E-9D4999FD4BE9}">
  <dimension ref="A1"/>
  <sheetViews>
    <sheetView workbookViewId="0"/>
  </sheetViews>
  <sheetFormatPr defaultRowHeight="15.0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4"/>
  <sheetViews>
    <sheetView topLeftCell="A20" workbookViewId="0">
      <selection activeCell="H13" sqref="H13"/>
    </sheetView>
  </sheetViews>
  <sheetFormatPr defaultColWidth="9.109375" defaultRowHeight="14.4"/>
  <cols>
    <col min="1" max="1" width="14.109375" style="7" customWidth="1"/>
    <col min="2" max="2" width="33.33203125" style="7" bestFit="1" customWidth="1"/>
    <col min="3" max="3" width="11.6640625" style="7" customWidth="1"/>
    <col min="4" max="10" width="9.109375" style="7"/>
    <col min="11" max="11" width="13.6640625" style="7" customWidth="1"/>
    <col min="12" max="12" width="14.33203125" style="7" customWidth="1"/>
    <col min="13" max="16384" width="9.109375" style="7"/>
  </cols>
  <sheetData>
    <row r="1" spans="1:16" s="1" customFormat="1" ht="25.05">
      <c r="A1" s="83" t="s">
        <v>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</row>
    <row r="2" spans="1:16" s="1" customFormat="1" ht="13.1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/>
      <c r="P2" s="4"/>
    </row>
    <row r="3" spans="1:16" s="1" customFormat="1" ht="16.899999999999999">
      <c r="A3" s="44" t="s">
        <v>1</v>
      </c>
      <c r="B3" s="84" t="s">
        <v>7</v>
      </c>
      <c r="C3" s="84"/>
      <c r="D3" s="45"/>
      <c r="E3" s="76" t="s">
        <v>8</v>
      </c>
      <c r="F3" s="76"/>
      <c r="G3" s="76"/>
      <c r="H3" s="77" t="s">
        <v>9</v>
      </c>
      <c r="I3" s="78"/>
      <c r="J3" s="78"/>
      <c r="K3" s="79"/>
      <c r="L3" s="46"/>
      <c r="M3" s="46"/>
      <c r="N3" s="46"/>
      <c r="O3" s="46"/>
      <c r="P3" s="46"/>
    </row>
    <row r="4" spans="1:16" s="1" customFormat="1" ht="16.899999999999999">
      <c r="A4" s="44"/>
      <c r="B4" s="75"/>
      <c r="C4" s="75"/>
      <c r="D4" s="47"/>
      <c r="E4" s="76" t="s">
        <v>10</v>
      </c>
      <c r="F4" s="76"/>
      <c r="G4" s="76"/>
      <c r="H4" s="80" t="s">
        <v>11</v>
      </c>
      <c r="I4" s="81"/>
      <c r="J4" s="81"/>
      <c r="K4" s="82"/>
      <c r="L4" s="47"/>
      <c r="M4" s="46"/>
      <c r="N4" s="46"/>
      <c r="O4" s="46"/>
      <c r="P4" s="46"/>
    </row>
    <row r="5" spans="1:16" s="1" customFormat="1" ht="16.899999999999999">
      <c r="A5" s="44"/>
      <c r="B5" s="75"/>
      <c r="C5" s="75"/>
      <c r="D5" s="47"/>
      <c r="E5" s="76" t="s">
        <v>12</v>
      </c>
      <c r="F5" s="76"/>
      <c r="G5" s="76"/>
      <c r="H5" s="89">
        <v>44114</v>
      </c>
      <c r="I5" s="90"/>
      <c r="J5" s="90"/>
      <c r="K5" s="91"/>
      <c r="L5" s="47"/>
      <c r="M5" s="46"/>
      <c r="N5" s="46"/>
      <c r="O5" s="46"/>
      <c r="P5" s="46"/>
    </row>
    <row r="6" spans="1:16" s="1" customFormat="1" ht="20.2" customHeight="1">
      <c r="A6" s="48" t="s">
        <v>13</v>
      </c>
      <c r="B6" s="87" t="s">
        <v>14</v>
      </c>
      <c r="C6" s="87"/>
      <c r="D6" s="87"/>
      <c r="E6" s="87"/>
      <c r="F6" s="87"/>
      <c r="G6" s="87"/>
      <c r="H6" s="87"/>
      <c r="I6" s="87"/>
      <c r="J6" s="87"/>
      <c r="K6" s="87"/>
      <c r="L6" s="49"/>
      <c r="M6" s="50"/>
      <c r="N6" s="50"/>
      <c r="O6" s="50"/>
      <c r="P6" s="50"/>
    </row>
    <row r="7" spans="1:16" s="1" customFormat="1" ht="20.2" customHeight="1">
      <c r="A7" s="51"/>
      <c r="B7" s="52"/>
      <c r="C7" s="88" t="s">
        <v>15</v>
      </c>
      <c r="D7" s="88"/>
      <c r="E7" s="88" t="s">
        <v>16</v>
      </c>
      <c r="F7" s="88"/>
      <c r="G7" s="88" t="s">
        <v>17</v>
      </c>
      <c r="H7" s="88"/>
      <c r="I7" s="88" t="s">
        <v>18</v>
      </c>
      <c r="J7" s="88"/>
      <c r="K7" s="88" t="s">
        <v>19</v>
      </c>
      <c r="L7" s="88"/>
      <c r="M7" s="85" t="s">
        <v>20</v>
      </c>
      <c r="N7" s="85"/>
      <c r="O7" s="86" t="s">
        <v>21</v>
      </c>
      <c r="P7" s="86"/>
    </row>
    <row r="8" spans="1:16" s="1" customFormat="1" ht="16.899999999999999">
      <c r="A8" s="53"/>
      <c r="B8" s="54"/>
      <c r="C8" s="88"/>
      <c r="D8" s="88"/>
      <c r="E8" s="88"/>
      <c r="F8" s="88"/>
      <c r="G8" s="88"/>
      <c r="H8" s="88"/>
      <c r="I8" s="88"/>
      <c r="J8" s="88"/>
      <c r="K8" s="88"/>
      <c r="L8" s="88"/>
      <c r="M8" s="85"/>
      <c r="N8" s="85"/>
      <c r="O8" s="86"/>
      <c r="P8" s="86"/>
    </row>
    <row r="9" spans="1:16" s="5" customFormat="1" ht="22.55" customHeight="1">
      <c r="A9" s="55" t="s">
        <v>2</v>
      </c>
      <c r="B9" s="55" t="s">
        <v>22</v>
      </c>
      <c r="C9" s="56" t="s">
        <v>23</v>
      </c>
      <c r="D9" s="56" t="s">
        <v>24</v>
      </c>
      <c r="E9" s="56" t="s">
        <v>23</v>
      </c>
      <c r="F9" s="56" t="s">
        <v>24</v>
      </c>
      <c r="G9" s="56" t="s">
        <v>23</v>
      </c>
      <c r="H9" s="56" t="s">
        <v>24</v>
      </c>
      <c r="I9" s="55" t="s">
        <v>23</v>
      </c>
      <c r="J9" s="56" t="s">
        <v>24</v>
      </c>
      <c r="K9" s="56" t="s">
        <v>23</v>
      </c>
      <c r="L9" s="56" t="s">
        <v>24</v>
      </c>
      <c r="M9" s="56" t="s">
        <v>23</v>
      </c>
      <c r="N9" s="56" t="s">
        <v>24</v>
      </c>
      <c r="O9" s="56" t="s">
        <v>23</v>
      </c>
      <c r="P9" s="56" t="s">
        <v>24</v>
      </c>
    </row>
    <row r="10" spans="1:16" s="1" customFormat="1" ht="31.65" customHeight="1">
      <c r="A10" s="57">
        <v>1</v>
      </c>
      <c r="B10" s="58" t="s">
        <v>25</v>
      </c>
      <c r="C10" s="59">
        <v>15</v>
      </c>
      <c r="D10" s="59">
        <v>15</v>
      </c>
      <c r="E10" s="59">
        <v>0</v>
      </c>
      <c r="F10" s="59">
        <f>'[1]Show Bus Routes List'!C6</f>
        <v>0</v>
      </c>
      <c r="G10" s="59">
        <f>'[1]Show Bus Routes List'!D5</f>
        <v>0</v>
      </c>
      <c r="H10" s="59">
        <f>'[1]Show Bus Routes List'!D6</f>
        <v>0</v>
      </c>
      <c r="I10" s="59">
        <f>'[1]Show Bus Routes List'!E5</f>
        <v>0</v>
      </c>
      <c r="J10" s="59">
        <f>'[1]Show Bus Routes List'!E6</f>
        <v>0</v>
      </c>
      <c r="K10" s="59">
        <v>15</v>
      </c>
      <c r="L10" s="59">
        <v>15</v>
      </c>
      <c r="M10" s="60">
        <f>ROUND(C10*100/K10,1)</f>
        <v>100</v>
      </c>
      <c r="N10" s="60">
        <f t="shared" ref="N10:N20" si="0">ROUND(D10*100/L10,1)</f>
        <v>100</v>
      </c>
      <c r="O10" s="60">
        <f t="shared" ref="O10:P17" si="1">ROUND((C10+E10)*100/K10,1)</f>
        <v>100</v>
      </c>
      <c r="P10" s="61">
        <f t="shared" si="1"/>
        <v>100</v>
      </c>
    </row>
    <row r="11" spans="1:16" s="1" customFormat="1" ht="31.65" customHeight="1">
      <c r="A11" s="57">
        <v>2</v>
      </c>
      <c r="B11" s="58" t="s">
        <v>26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60"/>
      <c r="N11" s="60"/>
      <c r="O11" s="60"/>
      <c r="P11" s="61"/>
    </row>
    <row r="12" spans="1:16" s="1" customFormat="1" ht="45.1" customHeight="1">
      <c r="A12" s="57">
        <v>3</v>
      </c>
      <c r="B12" s="58" t="s">
        <v>27</v>
      </c>
      <c r="C12" s="59">
        <v>12</v>
      </c>
      <c r="D12" s="59">
        <v>12</v>
      </c>
      <c r="E12" s="59">
        <v>0</v>
      </c>
      <c r="F12" s="59">
        <f>'[1]Show Bus Stops List'!C6</f>
        <v>0</v>
      </c>
      <c r="G12" s="59">
        <f>'[1]Show Bus Stops List'!D5</f>
        <v>0</v>
      </c>
      <c r="H12" s="59">
        <f>'[1]Show Bus Stops List'!D6</f>
        <v>0</v>
      </c>
      <c r="I12" s="59">
        <f>'[1]Show Bus Stops List'!E5</f>
        <v>0</v>
      </c>
      <c r="J12" s="59">
        <f>'[1]Show Bus Stops List'!E6</f>
        <v>0</v>
      </c>
      <c r="K12" s="59">
        <v>12</v>
      </c>
      <c r="L12" s="59">
        <v>12</v>
      </c>
      <c r="M12" s="60">
        <f t="shared" ref="M12:M20" si="2">ROUND(C12*100/K12,1)</f>
        <v>100</v>
      </c>
      <c r="N12" s="60">
        <f t="shared" si="0"/>
        <v>100</v>
      </c>
      <c r="O12" s="60">
        <f t="shared" si="1"/>
        <v>100</v>
      </c>
      <c r="P12" s="61">
        <f t="shared" si="1"/>
        <v>100</v>
      </c>
    </row>
    <row r="13" spans="1:16" s="1" customFormat="1" ht="45.1" customHeight="1">
      <c r="A13" s="62">
        <v>4</v>
      </c>
      <c r="B13" s="63" t="s">
        <v>28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60"/>
      <c r="N13" s="60"/>
      <c r="O13" s="60"/>
      <c r="P13" s="61"/>
    </row>
    <row r="14" spans="1:16" s="1" customFormat="1" ht="33.85" customHeight="1">
      <c r="A14" s="62">
        <v>5</v>
      </c>
      <c r="B14" s="63" t="s">
        <v>29</v>
      </c>
      <c r="C14" s="9">
        <v>8</v>
      </c>
      <c r="D14" s="9">
        <v>8</v>
      </c>
      <c r="E14" s="9" t="e">
        <f>#REF!</f>
        <v>#REF!</v>
      </c>
      <c r="F14" s="9" t="e">
        <f>#REF!</f>
        <v>#REF!</v>
      </c>
      <c r="G14" s="9" t="e">
        <f>#REF!</f>
        <v>#REF!</v>
      </c>
      <c r="H14" s="9" t="e">
        <f>#REF!</f>
        <v>#REF!</v>
      </c>
      <c r="I14" s="9" t="e">
        <f>#REF!</f>
        <v>#REF!</v>
      </c>
      <c r="J14" s="9" t="e">
        <f>#REF!</f>
        <v>#REF!</v>
      </c>
      <c r="K14" s="9">
        <v>4</v>
      </c>
      <c r="L14" s="9">
        <v>4</v>
      </c>
      <c r="M14" s="60">
        <f t="shared" si="2"/>
        <v>200</v>
      </c>
      <c r="N14" s="60">
        <f t="shared" si="0"/>
        <v>200</v>
      </c>
      <c r="O14" s="60" t="e">
        <f>ROUND((C14+E14)*100/K14,1)</f>
        <v>#REF!</v>
      </c>
      <c r="P14" s="61" t="e">
        <f t="shared" si="1"/>
        <v>#REF!</v>
      </c>
    </row>
    <row r="15" spans="1:16" s="1" customFormat="1" ht="33.85" customHeight="1">
      <c r="A15" s="62">
        <v>6</v>
      </c>
      <c r="B15" s="63" t="s">
        <v>30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10"/>
      <c r="N15" s="10"/>
      <c r="O15" s="10"/>
      <c r="P15" s="11"/>
    </row>
    <row r="16" spans="1:16" s="1" customFormat="1" ht="41.95" customHeight="1">
      <c r="A16" s="62">
        <v>7</v>
      </c>
      <c r="B16" s="63" t="s">
        <v>31</v>
      </c>
      <c r="C16" s="9">
        <v>15</v>
      </c>
      <c r="D16" s="9">
        <v>15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15</v>
      </c>
      <c r="L16" s="9">
        <v>15</v>
      </c>
      <c r="M16" s="60">
        <f t="shared" si="2"/>
        <v>100</v>
      </c>
      <c r="N16" s="10">
        <v>100</v>
      </c>
      <c r="O16" s="10">
        <v>100</v>
      </c>
      <c r="P16" s="11">
        <v>100</v>
      </c>
    </row>
    <row r="17" spans="1:16" s="1" customFormat="1" ht="33.85" customHeight="1">
      <c r="A17" s="62">
        <v>8</v>
      </c>
      <c r="B17" s="63" t="s">
        <v>32</v>
      </c>
      <c r="C17" s="9">
        <v>20</v>
      </c>
      <c r="D17" s="9">
        <v>20</v>
      </c>
      <c r="E17" s="9" t="e">
        <f>#REF!</f>
        <v>#REF!</v>
      </c>
      <c r="F17" s="9" t="e">
        <f>#REF!</f>
        <v>#REF!</v>
      </c>
      <c r="G17" s="9" t="e">
        <f>#REF!</f>
        <v>#REF!</v>
      </c>
      <c r="H17" s="9" t="e">
        <f>#REF!</f>
        <v>#REF!</v>
      </c>
      <c r="I17" s="9" t="e">
        <f>#REF!</f>
        <v>#REF!</v>
      </c>
      <c r="J17" s="9" t="e">
        <f>#REF!</f>
        <v>#REF!</v>
      </c>
      <c r="K17" s="9">
        <v>20</v>
      </c>
      <c r="L17" s="9">
        <v>20</v>
      </c>
      <c r="M17" s="60">
        <f t="shared" si="2"/>
        <v>100</v>
      </c>
      <c r="N17" s="60">
        <f t="shared" si="0"/>
        <v>100</v>
      </c>
      <c r="O17" s="60" t="e">
        <f>ROUND((C17+E17)*100/K17,1)</f>
        <v>#REF!</v>
      </c>
      <c r="P17" s="61" t="e">
        <f t="shared" si="1"/>
        <v>#REF!</v>
      </c>
    </row>
    <row r="18" spans="1:16" s="1" customFormat="1" ht="20.7">
      <c r="A18" s="62">
        <v>9</v>
      </c>
      <c r="B18" s="63" t="s">
        <v>33</v>
      </c>
      <c r="C18" s="9">
        <v>27</v>
      </c>
      <c r="D18" s="9">
        <v>27</v>
      </c>
      <c r="E18" s="9" t="e">
        <f>#REF!</f>
        <v>#REF!</v>
      </c>
      <c r="F18" s="59">
        <v>0</v>
      </c>
      <c r="G18" s="9" t="e">
        <f>#REF!</f>
        <v>#REF!</v>
      </c>
      <c r="H18" s="9" t="e">
        <f>#REF!</f>
        <v>#REF!</v>
      </c>
      <c r="I18" s="9" t="e">
        <f>#REF!</f>
        <v>#REF!</v>
      </c>
      <c r="J18" s="9">
        <v>0</v>
      </c>
      <c r="K18" s="9">
        <v>27</v>
      </c>
      <c r="L18" s="9">
        <v>27</v>
      </c>
      <c r="M18" s="60">
        <f t="shared" si="2"/>
        <v>100</v>
      </c>
      <c r="N18" s="60">
        <f t="shared" si="0"/>
        <v>100</v>
      </c>
      <c r="O18" s="60" t="e">
        <f t="shared" ref="O18:O20" si="3">ROUND((C18+E18)*100/K18,1)</f>
        <v>#REF!</v>
      </c>
      <c r="P18" s="61">
        <f t="shared" ref="P18:P20" si="4">ROUND((D18+F18)*100/L18,1)</f>
        <v>100</v>
      </c>
    </row>
    <row r="19" spans="1:16" s="6" customFormat="1" ht="20.7">
      <c r="A19" s="64">
        <v>10</v>
      </c>
      <c r="B19" s="65" t="s">
        <v>34</v>
      </c>
      <c r="C19" s="32">
        <v>17</v>
      </c>
      <c r="D19" s="32">
        <v>17</v>
      </c>
      <c r="E19" s="9">
        <v>0</v>
      </c>
      <c r="F19" s="9" t="e">
        <f>#REF!</f>
        <v>#REF!</v>
      </c>
      <c r="G19" s="9">
        <v>0</v>
      </c>
      <c r="H19" s="9">
        <v>0</v>
      </c>
      <c r="I19" s="9">
        <v>0</v>
      </c>
      <c r="J19" s="9" t="e">
        <f>#REF!</f>
        <v>#REF!</v>
      </c>
      <c r="K19" s="32">
        <v>17</v>
      </c>
      <c r="L19" s="32">
        <v>17</v>
      </c>
      <c r="M19" s="60">
        <f t="shared" si="2"/>
        <v>100</v>
      </c>
      <c r="N19" s="60">
        <f t="shared" si="0"/>
        <v>100</v>
      </c>
      <c r="O19" s="60">
        <f t="shared" si="3"/>
        <v>100</v>
      </c>
      <c r="P19" s="61" t="e">
        <f t="shared" si="4"/>
        <v>#REF!</v>
      </c>
    </row>
    <row r="20" spans="1:16" s="1" customFormat="1" ht="20.7">
      <c r="A20" s="64">
        <v>11</v>
      </c>
      <c r="B20" s="65" t="s">
        <v>35</v>
      </c>
      <c r="C20" s="32">
        <v>18</v>
      </c>
      <c r="D20" s="32">
        <v>18</v>
      </c>
      <c r="E20" s="9" t="e">
        <f>#REF!</f>
        <v>#REF!</v>
      </c>
      <c r="F20" s="9">
        <v>0</v>
      </c>
      <c r="G20" s="9" t="e">
        <f>#REF!</f>
        <v>#REF!</v>
      </c>
      <c r="H20" s="9" t="e">
        <f>#REF!</f>
        <v>#REF!</v>
      </c>
      <c r="I20" s="9" t="e">
        <f>#REF!</f>
        <v>#REF!</v>
      </c>
      <c r="J20" s="9">
        <v>0</v>
      </c>
      <c r="K20" s="32">
        <v>18</v>
      </c>
      <c r="L20" s="32">
        <v>18</v>
      </c>
      <c r="M20" s="60">
        <f t="shared" si="2"/>
        <v>100</v>
      </c>
      <c r="N20" s="60">
        <f t="shared" si="0"/>
        <v>100</v>
      </c>
      <c r="O20" s="60" t="e">
        <f t="shared" si="3"/>
        <v>#REF!</v>
      </c>
      <c r="P20" s="61">
        <f t="shared" si="4"/>
        <v>100</v>
      </c>
    </row>
    <row r="21" spans="1:16" s="1" customFormat="1" ht="16.899999999999999">
      <c r="A21" s="33"/>
      <c r="B21" s="34" t="s">
        <v>36</v>
      </c>
      <c r="C21" s="35">
        <f t="shared" ref="C21" si="5">SUM(C10:C20)</f>
        <v>132</v>
      </c>
      <c r="D21" s="35">
        <f t="shared" ref="D21" si="6">SUM(D10:D20)</f>
        <v>132</v>
      </c>
      <c r="E21" s="35" t="e">
        <f t="shared" ref="E21" si="7">SUM(E10:E20)</f>
        <v>#REF!</v>
      </c>
      <c r="F21" s="35" t="e">
        <f t="shared" ref="F21" si="8">SUM(F10:F20)</f>
        <v>#REF!</v>
      </c>
      <c r="G21" s="35" t="e">
        <f t="shared" ref="G21" si="9">SUM(G10:G20)</f>
        <v>#REF!</v>
      </c>
      <c r="H21" s="35" t="e">
        <f t="shared" ref="H21" si="10">SUM(H10:H20)</f>
        <v>#REF!</v>
      </c>
      <c r="I21" s="35" t="e">
        <f t="shared" ref="I21" si="11">SUM(I10:I20)</f>
        <v>#REF!</v>
      </c>
      <c r="J21" s="35" t="e">
        <f t="shared" ref="J21" si="12">SUM(J10:J20)</f>
        <v>#REF!</v>
      </c>
      <c r="K21" s="35">
        <f t="shared" ref="K21" si="13">SUM(K10:K20)</f>
        <v>128</v>
      </c>
      <c r="L21" s="35">
        <f t="shared" ref="L21" si="14">SUM(L10:L20)</f>
        <v>128</v>
      </c>
      <c r="M21" s="35">
        <f t="shared" ref="M21" si="15">SUM(M10:M20)</f>
        <v>900</v>
      </c>
      <c r="N21" s="35">
        <f t="shared" ref="N21" si="16">SUM(N10:N20)</f>
        <v>900</v>
      </c>
      <c r="O21" s="35" t="e">
        <f t="shared" ref="O21" si="17">SUM(O10:O20)</f>
        <v>#REF!</v>
      </c>
      <c r="P21" s="35" t="e">
        <f t="shared" ref="P21" si="18">SUM(P10:P20)</f>
        <v>#REF!</v>
      </c>
    </row>
    <row r="22" spans="1:16" ht="17.55" thickBot="1">
      <c r="A22" s="12"/>
      <c r="B22" s="13"/>
      <c r="C22" s="14" t="s">
        <v>23</v>
      </c>
      <c r="D22" s="14" t="s">
        <v>37</v>
      </c>
      <c r="E22" s="15"/>
      <c r="F22" s="16"/>
      <c r="G22" s="16"/>
      <c r="H22" s="16"/>
      <c r="I22" s="16"/>
      <c r="J22" s="16"/>
      <c r="K22" s="17"/>
      <c r="L22" s="17"/>
      <c r="M22" s="18"/>
      <c r="N22" s="18"/>
      <c r="O22" s="18"/>
      <c r="P22" s="30"/>
    </row>
    <row r="23" spans="1:16" ht="17.55" thickBot="1">
      <c r="A23" s="19"/>
      <c r="B23" s="20" t="s">
        <v>38</v>
      </c>
      <c r="C23" s="21" t="e">
        <f>ROUND((C21+E21)*100/K21,1)</f>
        <v>#REF!</v>
      </c>
      <c r="D23" s="22" t="e">
        <f>ROUND((D21+F21)*100/L21,1)</f>
        <v>#REF!</v>
      </c>
      <c r="E23" s="19" t="s">
        <v>39</v>
      </c>
      <c r="F23" s="23"/>
      <c r="G23" s="24"/>
      <c r="H23" s="19"/>
      <c r="I23" s="19"/>
      <c r="J23" s="19"/>
      <c r="K23" s="24"/>
      <c r="L23" s="24"/>
      <c r="M23" s="25"/>
      <c r="N23" s="25"/>
      <c r="O23" s="25"/>
      <c r="P23" s="31"/>
    </row>
    <row r="24" spans="1:16" ht="16.899999999999999">
      <c r="A24" s="40"/>
      <c r="B24" s="26" t="s">
        <v>40</v>
      </c>
      <c r="C24" s="27">
        <f>ROUND(C21*100/K21,1)</f>
        <v>103.1</v>
      </c>
      <c r="D24" s="28">
        <f>ROUND(D21*100/L21,1)</f>
        <v>103.1</v>
      </c>
      <c r="E24" s="27" t="s">
        <v>39</v>
      </c>
      <c r="F24" s="29"/>
      <c r="G24" s="41"/>
      <c r="H24" s="40"/>
      <c r="I24" s="40"/>
      <c r="J24" s="40"/>
      <c r="K24" s="41"/>
      <c r="L24" s="41"/>
      <c r="M24" s="42"/>
      <c r="N24" s="42"/>
      <c r="O24" s="42"/>
      <c r="P24" s="38"/>
    </row>
  </sheetData>
  <mergeCells count="18">
    <mergeCell ref="M7:N8"/>
    <mergeCell ref="O7:P8"/>
    <mergeCell ref="B5:C5"/>
    <mergeCell ref="E5:G5"/>
    <mergeCell ref="B6:K6"/>
    <mergeCell ref="C7:D8"/>
    <mergeCell ref="E7:F8"/>
    <mergeCell ref="G7:H8"/>
    <mergeCell ref="I7:J8"/>
    <mergeCell ref="K7:L8"/>
    <mergeCell ref="H5:K5"/>
    <mergeCell ref="B4:C4"/>
    <mergeCell ref="E4:G4"/>
    <mergeCell ref="H3:K3"/>
    <mergeCell ref="H4:K4"/>
    <mergeCell ref="A1:P1"/>
    <mergeCell ref="B3:C3"/>
    <mergeCell ref="E3:G3"/>
  </mergeCells>
  <pageMargins left="0.7" right="0.7" top="0.75" bottom="0.75" header="0.3" footer="0.3"/>
  <pageSetup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Trường hợp kiểm thử</vt:lpstr>
      <vt:lpstr>Sheet1</vt:lpstr>
      <vt:lpstr>Báo cáo kiểm tra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2026-04-14T15:37:15Z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2024-11-14T09:39:02Z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4abfca76-958e-4726-864a-3f12f6e2e8f2</vt:lpwstr>
  </property>
  <property fmtid="{D5CDD505-2E9C-101B-9397-08002B2CF9AE}" pid="8" name="MSIP_Label_defa4170-0d19-0005-0004-bc88714345d2_ContentBits">
    <vt:lpwstr>0</vt:lpwstr>
  </property>
</Properties>
</file>