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nhi\Khóa luận tốt nghiệp\Bao cao Su dung cho de tai nhom\"/>
    </mc:Choice>
  </mc:AlternateContent>
  <xr:revisionPtr revIDLastSave="0" documentId="13_ncr:1_{AA8A272B-9661-482D-9111-1283B13D9B43}" xr6:coauthVersionLast="47" xr6:coauthVersionMax="47" xr10:uidLastSave="{00000000-0000-0000-0000-000000000000}"/>
  <bookViews>
    <workbookView xWindow="-113" yWindow="-113" windowWidth="24267" windowHeight="13023" tabRatio="858" activeTab="1" xr2:uid="{00000000-000D-0000-FFFF-FFFF00000000}"/>
  </bookViews>
  <sheets>
    <sheet name="Trường hợp kiểm thử" sheetId="12" r:id="rId1"/>
    <sheet name="Thư viện thẻ" sheetId="24" r:id="rId2"/>
    <sheet name="Lịch sử rèn luyện" sheetId="27" r:id="rId3"/>
    <sheet name="chi tiết thư mục" sheetId="28" r:id="rId4"/>
    <sheet name="Kiểm tra" sheetId="29" r:id="rId5"/>
    <sheet name="Thống kê học tập" sheetId="25" r:id="rId6"/>
    <sheet name="Chatbot AI" sheetId="2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9" l="1"/>
  <c r="D5" i="29"/>
  <c r="E4" i="29"/>
  <c r="D4" i="29"/>
  <c r="E5" i="28"/>
  <c r="D5" i="28"/>
  <c r="E4" i="28"/>
  <c r="D4" i="28"/>
  <c r="E5" i="27"/>
  <c r="D5" i="27"/>
  <c r="E4" i="27"/>
  <c r="D4" i="27"/>
  <c r="E5" i="24"/>
  <c r="D5" i="24"/>
  <c r="E4" i="24"/>
  <c r="D4" i="24"/>
  <c r="D4" i="26"/>
  <c r="E4" i="26"/>
  <c r="D5" i="26"/>
  <c r="E5" i="26"/>
  <c r="D4" i="25"/>
  <c r="E4" i="25"/>
  <c r="D5" i="25"/>
  <c r="E5" i="25"/>
</calcChain>
</file>

<file path=xl/sharedStrings.xml><?xml version="1.0" encoding="utf-8"?>
<sst xmlns="http://schemas.openxmlformats.org/spreadsheetml/2006/main" count="931" uniqueCount="411">
  <si>
    <t>TEST CASE SYSTEM SPRINT 2</t>
  </si>
  <si>
    <t>Tên dự án</t>
  </si>
  <si>
    <t>STT</t>
  </si>
  <si>
    <t>Chức năng</t>
  </si>
  <si>
    <t>Sheet Name</t>
  </si>
  <si>
    <t>Mô tả</t>
  </si>
  <si>
    <t>Project Name</t>
  </si>
  <si>
    <t>Module Code</t>
  </si>
  <si>
    <t>Hoàn thành</t>
  </si>
  <si>
    <t>Lỗi</t>
  </si>
  <si>
    <t>Chưa kiểm tra</t>
  </si>
  <si>
    <t>Round 1</t>
  </si>
  <si>
    <t>Round 2</t>
  </si>
  <si>
    <t>Test Case ID</t>
  </si>
  <si>
    <t>Điều kiện tiên quyết</t>
  </si>
  <si>
    <t>Kết quả mong đợi</t>
  </si>
  <si>
    <t>Kết quả thực tế</t>
  </si>
  <si>
    <t>Kết quả</t>
  </si>
  <si>
    <t>Chú thích</t>
  </si>
  <si>
    <t>Vòng 1</t>
  </si>
  <si>
    <t>Vòng 2</t>
  </si>
  <si>
    <t>Trạng thái</t>
  </si>
  <si>
    <t>Ngày kiểm tra</t>
  </si>
  <si>
    <t>Người kiểm tra</t>
  </si>
  <si>
    <t>Hoàng</t>
  </si>
  <si>
    <t>[Quay lại] Button</t>
  </si>
  <si>
    <t xml:space="preserve"> -Text color : black
 -Status : enable</t>
  </si>
  <si>
    <t xml:space="preserve"> -Label : black
 -Status : enable</t>
  </si>
  <si>
    <t>[Sửa] Button</t>
  </si>
  <si>
    <t>[Xóa] Button</t>
  </si>
  <si>
    <t>Thiết kế và phát triển nền tảng học tập thông minh tích hợp trợ lý ảo AI và cá nhân hoá lộ trình học tập</t>
  </si>
  <si>
    <t>Số lượng test</t>
  </si>
  <si>
    <t>Nhi</t>
  </si>
  <si>
    <t>Hằng</t>
  </si>
  <si>
    <t xml:space="preserve">Tạo và ôn tập flashcard </t>
  </si>
  <si>
    <t>Quản lý tài liệu học tập</t>
  </si>
  <si>
    <t>Quản lý ghi chú cá nhân</t>
  </si>
  <si>
    <t>Dữ liệu hiển thị đúng theo tỷ lệ phần trăm todolist đã hoàn thành</t>
  </si>
  <si>
    <t>Đăng nhập thành công 
vào hệ thống</t>
  </si>
  <si>
    <t xml:space="preserve">1. Truy cập vào trang thống kê
2. Chọn "Tỷ lệ phần trăm"
</t>
  </si>
  <si>
    <t>Kiểm tra biểu đồ hiển thị theo tỷ lệ phần trăm</t>
  </si>
  <si>
    <t>FUNC-TKHT07</t>
  </si>
  <si>
    <t>Dữ liệu hiển thị đúng theo tổng số todolist đã hoàn thành</t>
  </si>
  <si>
    <t xml:space="preserve">1. Truy cập vào trang thống kê
2. Chọn "Tổng số lượng"
</t>
  </si>
  <si>
    <t>Kiểm tra biểu đồ hiển thị theo tổng số lượng</t>
  </si>
  <si>
    <t>FUNC-TKHT06</t>
  </si>
  <si>
    <t>Dữ liệu hiển thị đúng theo tháng trong năm</t>
  </si>
  <si>
    <t xml:space="preserve">1. Truy cập vào trang thống kê
2. Chọn "Năm này"
</t>
  </si>
  <si>
    <t>Kiểm tra biểu đồ hiển thị theo năm</t>
  </si>
  <si>
    <t>FUNC-TKHT05</t>
  </si>
  <si>
    <t>Dữ liệu hiển thị đúng theo ngày trong tháng</t>
  </si>
  <si>
    <t xml:space="preserve">1. Truy cập vào trang thống kê
2. Chọn "Tháng này"
</t>
  </si>
  <si>
    <t>Kiểm tra biểu đồ hiển thị theo tháng</t>
  </si>
  <si>
    <t>FUNC-TKHT04</t>
  </si>
  <si>
    <t>Dữ liệu hiển thị đúng theo 7 ngày gần nhất</t>
  </si>
  <si>
    <t xml:space="preserve">1. Truy cập vào trang thống kê
2. Chọn "Tuần này"
</t>
  </si>
  <si>
    <t>Kiểm tra biểu đồ hiển thị theo tuần</t>
  </si>
  <si>
    <t>FUNC-TKHT03</t>
  </si>
  <si>
    <t>Biểu đồ rỗng</t>
  </si>
  <si>
    <t xml:space="preserve">1. Truy cập vào trang chủ
2. Chọn "Thống kê" ở sidebar   
</t>
  </si>
  <si>
    <t>Kiểm tra biểu đồ hiển thị khi không có dữ liệu</t>
  </si>
  <si>
    <t>FUNC-TKHT02</t>
  </si>
  <si>
    <t>Hiển thị trang thống kê gồm có:
- Label "Thống kê kết quả"
- Button "Tuần này"
- Button "Tháng này"
- Button "Năm này"
- Button "Tổng số lượng"
- Button "Tỷ lệ phần trăm"
- Biểu đồ hiển thị đúng theo mặc định</t>
  </si>
  <si>
    <t>Xác thực trang thống kê đang hiển thị</t>
  </si>
  <si>
    <t>FUNC-TKHT01</t>
  </si>
  <si>
    <t>FUNCTION_SHOW Thống kê học tập</t>
  </si>
  <si>
    <t xml:space="preserve"> -Text color : white
 -Status : enable</t>
  </si>
  <si>
    <t>[Tỷ lệ phần trăm] Button</t>
  </si>
  <si>
    <t>GUI-TKHT06</t>
  </si>
  <si>
    <t>[Tổng số lượng] Button</t>
  </si>
  <si>
    <t>GUI-TKHT05</t>
  </si>
  <si>
    <t>[Năm này] Button</t>
  </si>
  <si>
    <t>GUI-TKHT04</t>
  </si>
  <si>
    <t>[Tháng này] Button</t>
  </si>
  <si>
    <t>GUI-TKHT03</t>
  </si>
  <si>
    <t>[Tuần này] Button</t>
  </si>
  <si>
    <t>GUI-TKHT02</t>
  </si>
  <si>
    <t>[ Thống kê kết quả] Label</t>
  </si>
  <si>
    <t>GUI-TKHT01</t>
  </si>
  <si>
    <t>GUI_SHOW Thống kê học tập</t>
  </si>
  <si>
    <t>Hành động</t>
  </si>
  <si>
    <t>Tổng số trường hợp thử nghiệm</t>
  </si>
  <si>
    <t>Bị chăn</t>
  </si>
  <si>
    <t>Thống kê học tập</t>
  </si>
  <si>
    <t xml:space="preserve"> THIẾT KẾ VÀ PHÁT TRIỂN NỀN TÁNG HỌC TẬP THÔNG MINH TÍCH HỢP TRỢ LÝ ẢO AI VÀ CÁ NHÂN HOÁ LỘ TRÌNH HỌC TẬP</t>
  </si>
  <si>
    <t>Không lưu</t>
  </si>
  <si>
    <t>Lưu lại lịch sử chat</t>
  </si>
  <si>
    <t xml:space="preserve">1. Truy cập vào trang chủ
2. Chọn bong bóng chat ở góc phải màn hình   
</t>
  </si>
  <si>
    <t>Kiểm tra lưu lịch sử trò chuyện</t>
  </si>
  <si>
    <t>FUNC-CBAI05</t>
  </si>
  <si>
    <t>Không xuống dòng</t>
  </si>
  <si>
    <t>Xuống dòng khi ký tự đã dài quá khung chat</t>
  </si>
  <si>
    <t xml:space="preserve">1. Truy cập vào trang chủ
2. Chọn bong bóng chat ở góc phải màn hình   
3. Nhập 100 ký tự
4. Bấm nút gửi
</t>
  </si>
  <si>
    <t>Kiểm tra khi gửi tin nhắn dài cho chatbot</t>
  </si>
  <si>
    <t>FUNC-CBAI04</t>
  </si>
  <si>
    <t>Không gửi</t>
  </si>
  <si>
    <t xml:space="preserve">1. Truy cập vào trang chủ
2. Chọn bong bóng chat ở góc phải màn hình   
3. Không nhập gì
4. Bấm nút gửi
</t>
  </si>
  <si>
    <t>Kiểm tra khi gửi tin nhắn rỗng cho chatbot</t>
  </si>
  <si>
    <t>FUNC-CBAI03</t>
  </si>
  <si>
    <t>Chatbot trả lời "Lỗi kết nối AI, vui lòng thử lại sau"</t>
  </si>
  <si>
    <t xml:space="preserve">1. Truy cập vào trang chủ
2. Chọn bong bóng chat ở góc phải màn hình   
</t>
  </si>
  <si>
    <t>Kiểm tra khi chatbot mất kết nối</t>
  </si>
  <si>
    <t>FUNC-CBAI02</t>
  </si>
  <si>
    <t>Chatbot chuyển trạng thái "Đang trực tuyến" thành "Offline"</t>
  </si>
  <si>
    <t>Kiểm tra khi chatbot api lỗi</t>
  </si>
  <si>
    <t>FUNC-CBAI01</t>
  </si>
  <si>
    <t xml:space="preserve"> -Text color : yellow
 -Status : enable</t>
  </si>
  <si>
    <t>[Icon] Button</t>
  </si>
  <si>
    <t>GUI-CBAI04</t>
  </si>
  <si>
    <t>[Ô nhập tin nhắn] Textbox</t>
  </si>
  <si>
    <t>GUI-CBAI03</t>
  </si>
  <si>
    <t>[ĐANG TRỰC TUYẾN] Label</t>
  </si>
  <si>
    <t>GUI-CBAI02</t>
  </si>
  <si>
    <t xml:space="preserve"> -Label : white
 -Status : enable</t>
  </si>
  <si>
    <t>[ AI ASSISTANT ] Label</t>
  </si>
  <si>
    <t>GUI-CBAI01</t>
  </si>
  <si>
    <t>Chatbot AI</t>
  </si>
  <si>
    <t>Pass</t>
  </si>
  <si>
    <t>-Text: white
-Background: Green
-Status: enable
-Border: black</t>
  </si>
  <si>
    <t>-Text: black
-Status: enable</t>
  </si>
  <si>
    <t>Đã đăng nhập</t>
  </si>
  <si>
    <t>Fail</t>
  </si>
  <si>
    <t>Thư viện thẻ</t>
  </si>
  <si>
    <t>Tạo thư mục</t>
  </si>
  <si>
    <t>Kiểm tra</t>
  </si>
  <si>
    <t>[Tiêu đề flashcard] Text</t>
  </si>
  <si>
    <t>[Xem lịch sử] Button</t>
  </si>
  <si>
    <t>[Tạo thư mục flashcard] Button</t>
  </si>
  <si>
    <t>[Khung thư mục flashcard] Panel</t>
  </si>
  <si>
    <t>[Sửa tên folder] Button</t>
  </si>
  <si>
    <t>[Xóa folder] Button</t>
  </si>
  <si>
    <t>-Text: black
-Status: enable
-Border: black</t>
  </si>
  <si>
    <t>-Text: black
-Status: hover: enable 
-Border: black
-Icon: pencil</t>
  </si>
  <si>
    <t>-Text: black
-Status: hover: enable 
-Border: black
-Icon: trash</t>
  </si>
  <si>
    <t>GUI_SHOW Trang Thư viện thẻ</t>
  </si>
  <si>
    <t>FUNCTION_SHOW Trang Thư viện thẻ</t>
  </si>
  <si>
    <t>Xem lịch sử</t>
  </si>
  <si>
    <t>Sửa tên folder</t>
  </si>
  <si>
    <t>Nhấn nút “Xem lịch sử”</t>
  </si>
  <si>
    <t>Hệ thống chuyển hướng đến trang lịch sử thành công</t>
  </si>
  <si>
    <t>Folder tồn tại</t>
  </si>
  <si>
    <t>FUNC-TVT1</t>
  </si>
  <si>
    <t>FUNC-TVT2</t>
  </si>
  <si>
    <t>FUNC-TVT3</t>
  </si>
  <si>
    <t>FUNC-TVT4</t>
  </si>
  <si>
    <t>GUI-TVT1</t>
  </si>
  <si>
    <t>GUI-TVT2</t>
  </si>
  <si>
    <t>GUI-TVT3</t>
  </si>
  <si>
    <t>GUI-TVT4</t>
  </si>
  <si>
    <t>GUI-TVT5</t>
  </si>
  <si>
    <t>GUI-TVT6</t>
  </si>
  <si>
    <t>Tạo thư mục mà không nhập tên</t>
  </si>
  <si>
    <t xml:space="preserve">chọn xóa folder </t>
  </si>
  <si>
    <t>1. Nhấn nút “Xóa folder” khi di chuột vào 1 thư mục
2. Chọn ok</t>
  </si>
  <si>
    <t>thông báo "Đã xóa thư mục!"</t>
  </si>
  <si>
    <t>chọn xóa folder nhưng không xóa</t>
  </si>
  <si>
    <t>1. Nhấn nút “Xóa folder” khi di chuột vào 1 thư mục
2. Chọn hủy</t>
  </si>
  <si>
    <t>thư mục vẫn hiển thị trên thư viện và không bị xóa</t>
  </si>
  <si>
    <t>1. Nhấn nút “Sửa tên folder” khi di chuột vào 1 thư mục
2. Sửa tên thư mục
3. Nhấn xác nhận</t>
  </si>
  <si>
    <t>thông báo "Lỗi lưu thư mục!"</t>
  </si>
  <si>
    <t>thông báo "Đổi tên folder thành công!"</t>
  </si>
  <si>
    <t>Sửa tên folder nhưng không sửa</t>
  </si>
  <si>
    <t>1. Nhấn nút “Sửa tên folder” khi di chuột vào 1 thư mục
2. Sửa tên thư mục
3. Nhấn hủy</t>
  </si>
  <si>
    <t>thư mục vẫn hiển thị tên trên thư viện và không bị sửa tên</t>
  </si>
  <si>
    <t>Sửa tên folder mà không nhập tên folder</t>
  </si>
  <si>
    <t>1. Nhấn nút “Sửa tên folder” khi di chuột vào 1 thư mục
2. Xóa tên thư mục
3. Nhấn xác nhận</t>
  </si>
  <si>
    <t>nút xác nhận bị làm mờ không thể nhấn</t>
  </si>
  <si>
    <t>thông báo "Tạo thư mục thành công!"</t>
  </si>
  <si>
    <t>1. Nhấn nút “Tạo thư mục flashcard”
2. Nhập tên thư mục
3. Nhấn xác nhận</t>
  </si>
  <si>
    <t>1. Nhấn nút “Tạo thư mục flashcard”
2. Nhấn xác nhận</t>
  </si>
  <si>
    <t>Lịch sử rèn luyện</t>
  </si>
  <si>
    <t>chi tiết thư mục</t>
  </si>
  <si>
    <t>Tạo thư mục trùng tên</t>
  </si>
  <si>
    <t>1. Nhấn nút “Tạo thư mục flashcard”
2. Nhập tên thư mục trùng với tên đã tồn tại
3. Nhấn xác nhận</t>
  </si>
  <si>
    <t>thông báo "Tên folder đã tồn tại"</t>
  </si>
  <si>
    <t>[LỊCH SỬ RÈN LUYỆN] Text</t>
  </si>
  <si>
    <t>[Phạm vi (tuần/tháng/năm] Button</t>
  </si>
  <si>
    <t>[Chế độ (Điểm trung bình/số lượng bài)] Button</t>
  </si>
  <si>
    <t>[bảng thống kê]Statistical table</t>
  </si>
  <si>
    <t>[Danh sách câu hỏi] box</t>
  </si>
  <si>
    <t>[Câu hỏi] text</t>
  </si>
  <si>
    <t>[Câu trả lời] text</t>
  </si>
  <si>
    <t>[Câu trả lời đúng] text</t>
  </si>
  <si>
    <t>[Câu trả lời sai] text</t>
  </si>
  <si>
    <t>GUI-LS1</t>
  </si>
  <si>
    <t>GUI-LS2</t>
  </si>
  <si>
    <t>GUI-LS3</t>
  </si>
  <si>
    <t>GUI-LS4</t>
  </si>
  <si>
    <t>GUI-LS5</t>
  </si>
  <si>
    <t>GUI-LS6</t>
  </si>
  <si>
    <t>GUI-LS7</t>
  </si>
  <si>
    <t>GUI-LS8</t>
  </si>
  <si>
    <t>GUI-LS9</t>
  </si>
  <si>
    <t>GUI-LS10</t>
  </si>
  <si>
    <t>GUI-LS11</t>
  </si>
  <si>
    <t>[tiêu đề BÀI LÀM] text</t>
  </si>
  <si>
    <t xml:space="preserve">-Text: black
-Status: enable </t>
  </si>
  <si>
    <t xml:space="preserve">-Text: white
-background: green
-Status: enable </t>
  </si>
  <si>
    <t>GUI-LS12</t>
  </si>
  <si>
    <t>[x] button</t>
  </si>
  <si>
    <t>[Danh sách bài thi] link button</t>
  </si>
  <si>
    <t>-Text: black
-Status: enable 
-background: green</t>
  </si>
  <si>
    <t>-Text: white
-Status: enable 
-background: red</t>
  </si>
  <si>
    <t>-Text: black
-Status: hover: enable 
-Border: black</t>
  </si>
  <si>
    <t>Trạng thái nút được chọn</t>
  </si>
  <si>
    <t>Hiển thị Tooltip trên biểu đồ</t>
  </si>
  <si>
    <t>Di chuyển chuột liên tục</t>
  </si>
  <si>
    <t>Mở chi tiết bài thi</t>
  </si>
  <si>
    <t>Hiển thị nội dung câu hỏi</t>
  </si>
  <si>
    <t>Đóng cửa sổ chi tiết</t>
  </si>
  <si>
    <t>Kiểm tra lọc theo chế độ</t>
  </si>
  <si>
    <t>Đã có dữ liệu biểu đồ</t>
  </si>
  <si>
    <t>1. Click vào từng nút chế độ</t>
  </si>
  <si>
    <t>Màn hình hiển thị đầy đủ nút</t>
  </si>
  <si>
    <t>Nút được chọn đổi màu nền (xanh) và chữ (trắng), các nút khác giữ trạng thái mặc định</t>
  </si>
  <si>
    <t>1. Hover vào điểm dữ liệu trên biểu đồ</t>
  </si>
  <si>
    <t>Có dữ liệu biểu đồ</t>
  </si>
  <si>
    <t>Hiển thị tooltip gồm: - Ngày - Điểm hoặc số lượng bài (theo chế độ)</t>
  </si>
  <si>
    <t>1. Rê chuột qua nhiều điểm dữ liệu</t>
  </si>
  <si>
    <t>Tooltip cập nhật đúng, không lag, không lệch vị trí</t>
  </si>
  <si>
    <t>1. Click vào 1 thẻ bài thi</t>
  </si>
  <si>
    <t>Có danh sách bài thi</t>
  </si>
  <si>
    <t>Hiển thị modal chi tiết gồm tiêu đề và danh sách câu hỏi</t>
  </si>
  <si>
    <t>1. Kiểm tra trong modal</t>
  </si>
  <si>
    <t>Modal đã mở</t>
  </si>
  <si>
    <t>Mỗi câu hỏi hiển thị: - Nội dung câu hỏi - 4 đáp án lựa chọn</t>
  </si>
  <si>
    <t>Logic màu sắc đáp án</t>
  </si>
  <si>
    <t>1. Quan sát câu đã trả lời</t>
  </si>
  <si>
    <t>Có dữ liệu bài làm</t>
  </si>
  <si>
    <t>1. Click nút [X] hoặc Đóng</t>
  </si>
  <si>
    <t>Modal đang mở</t>
  </si>
  <si>
    <t>Modal đóng, quay về màn hình lịch sử</t>
  </si>
  <si>
    <t>1. Click chọn Điểm trung bình 2. Click chọn Số lượng bài</t>
  </si>
  <si>
    <t>Kiểm tra lọc theo phạm vi</t>
  </si>
  <si>
    <t>Có dữ liệu lịch sử</t>
  </si>
  <si>
    <t>1. Click lần lượt vào: Tuần này, Tháng này, Năm nay</t>
  </si>
  <si>
    <t>FUNC-LS1</t>
  </si>
  <si>
    <t>Biểu đồ cập nhật trục X tương ứng: 
- Tuần: theo ngày trong tuần 
- Tháng: theo ngày trong tháng 
- Năm: theo tháng trong năm 
Dữ liệu hiển thị đúng theo phạm vi đã chọn</t>
  </si>
  <si>
    <t>Trục Y và đường biểu diễn thay đổi: 
- Chế độ Điểm: thang 0–100 
- Chế độ Số lượng: hiển thị số bài đã làm</t>
  </si>
  <si>
    <t>- Đáp án đúng: Nền xanh, chữ trắng
- Đáp án sai đã chọn: Nền đỏ, chữ trắng
- Đáp án khác: Nền trắng, chữ đen</t>
  </si>
  <si>
    <t>FUNC-LS2</t>
  </si>
  <si>
    <t>FUNC-LS3</t>
  </si>
  <si>
    <t>FUNC-LS4</t>
  </si>
  <si>
    <t>FUNC-LS5</t>
  </si>
  <si>
    <t>FUNC-LS6</t>
  </si>
  <si>
    <t>FUNC-LS7</t>
  </si>
  <si>
    <t>FUNC-LS8</t>
  </si>
  <si>
    <t>FUNC-LS9</t>
  </si>
  <si>
    <t>FUNC-TVT5</t>
  </si>
  <si>
    <t>FUNC-TVT6</t>
  </si>
  <si>
    <t>FUNC-TVT7</t>
  </si>
  <si>
    <t>FUNC-TVT8</t>
  </si>
  <si>
    <t>FUNC-TVT9</t>
  </si>
  <si>
    <t>[Kiểm tra] Button</t>
  </si>
  <si>
    <t>[Flashcard chính] Card</t>
  </si>
  <si>
    <t>[Đánh dấu sao] Button</t>
  </si>
  <si>
    <t>[Điều hướng thẻ] Button</t>
  </si>
  <si>
    <t>[Ô nhập mặt trước] Input</t>
  </si>
  <si>
    <t>[Ô nhập mặt sau] Textarea</t>
  </si>
  <si>
    <t>[Lưu thẻ vào kho] Button</t>
  </si>
  <si>
    <t>[Dòng thẻ chi tiết] Item</t>
  </si>
  <si>
    <t>GUI_SHOW Trang Chi tiết thư mục</t>
  </si>
  <si>
    <t>GUI-CTTM1</t>
  </si>
  <si>
    <t>GUI-CTTM2</t>
  </si>
  <si>
    <t>GUI-CTTM3</t>
  </si>
  <si>
    <t>GUI-CTTM4</t>
  </si>
  <si>
    <t>GUI-CTTM5</t>
  </si>
  <si>
    <t>GUI-CTTM6</t>
  </si>
  <si>
    <t>GUI-CTTM7</t>
  </si>
  <si>
    <t>GUI-CTTM8</t>
  </si>
  <si>
    <t>GUI-CTTM9</t>
  </si>
  <si>
    <t>- Icon: Star 
- Màu: Yellow (selected) / Gray (default)</t>
  </si>
  <si>
    <t xml:space="preserve">- Text: Black (Bold, Center) 
- Subtext: Gray 
- Border: black </t>
  </si>
  <si>
    <t>- Text: Black 
- Placeholder: Gray 
- Border: black</t>
  </si>
  <si>
    <t>- Text: Black 
- Icon: Star / Edit / Trash 
- Border: black</t>
  </si>
  <si>
    <t>- Text: black
- Icon: Arrow left
- Border: black
- Status: enable</t>
  </si>
  <si>
    <t>- Text: White 
- Background: Green 
- Icon: Lightning 
- Border: black 
- Status: Enable</t>
  </si>
  <si>
    <t>- Icon: Arrow left / right 
- Text: Black 
- Status: Enable / Disable</t>
  </si>
  <si>
    <t>- Text: White 
- Background: Green 
- Border: black 
- Status: Enable</t>
  </si>
  <si>
    <t>FUNCTION_SHOW Trang chi tiết thư mục</t>
  </si>
  <si>
    <t>[Cập nhật ngay] Button</t>
  </si>
  <si>
    <t>[x] Button</t>
  </si>
  <si>
    <t>-Text: white
-Status: hover: enable 
-Border: black</t>
  </si>
  <si>
    <t>[Ô nhập mặt sau] Input</t>
  </si>
  <si>
    <t>Sử dụng flashcard</t>
  </si>
  <si>
    <t>Thêm flashcard</t>
  </si>
  <si>
    <t>Thêm flashcard (thiếu dữ liệu)</t>
  </si>
  <si>
    <t>Sửa flashcard</t>
  </si>
  <si>
    <t>Sửa flashcard (dữ liệu rỗng)</t>
  </si>
  <si>
    <t>Hủy chỉnh sửa</t>
  </si>
  <si>
    <t>Xóa flashcard</t>
  </si>
  <si>
    <t>Điều hướng màn hình</t>
  </si>
  <si>
    <t>Nhập dữ liệu đặc biệt</t>
  </si>
  <si>
    <t>Đã có ít nhất 1 flashcard</t>
  </si>
  <si>
    <t>Đang ở màn hình Flashcard</t>
  </si>
  <si>
    <t>Đã có flashcard trong danh sách</t>
  </si>
  <si>
    <t>Đã có flashcard</t>
  </si>
  <si>
    <t>Đang mở form sửa</t>
  </si>
  <si>
    <t>1. Mở màn hình 
2. Click [Flashcard chính] 
3. Nhấn điều hướng trái/phải 
4. Click [Đánh dấu sao]</t>
  </si>
  <si>
    <t>1. Nhập [Mặt trước] 
2. Nhập [Mặt sau] 
3. Click [Lưu thẻ vào kho]</t>
  </si>
  <si>
    <t>1. Click [Sửa] 
2. Chỉnh nội dung 
3. Click [Cập nhật ngay]</t>
  </si>
  <si>
    <t>1. Click [Sửa] 
2. Xóa nội dung 
3. Click cập nhật</t>
  </si>
  <si>
    <t>1. Click [Sửa] 
2. Click [x]</t>
  </si>
  <si>
    <t>1. Click [Xóa] 
2. Xác nhận</t>
  </si>
  <si>
    <t>1. Click [Quay lại] 
2. Click [Kiểm tra]</t>
  </si>
  <si>
    <t>1. Nhập ký tự đặc biệt / chuỗi dài 
2. Click lưu</t>
  </si>
  <si>
    <t>FUNC-CTTM1</t>
  </si>
  <si>
    <t>FUNC-CTTM2</t>
  </si>
  <si>
    <t>FUNC-CTTM3</t>
  </si>
  <si>
    <t>FUNC-CTTM4</t>
  </si>
  <si>
    <t>FUNC-CTTM5</t>
  </si>
  <si>
    <t>FUNC-CTTM6</t>
  </si>
  <si>
    <t>FUNC-CTTM7</t>
  </si>
  <si>
    <t>FUNC-CTTM8</t>
  </si>
  <si>
    <t>FUNC-CTTM9</t>
  </si>
  <si>
    <t>Chuyển màn thành công</t>
  </si>
  <si>
    <t>Không lỗi hệ thống
Xử lý đúng</t>
  </si>
  <si>
    <t>Thẻ bị xóa</t>
  </si>
  <si>
    <t>Đóng form 
Dữ liệu giữ nguyên</t>
  </si>
  <si>
    <t>Không cho cập nhật 
Báo lỗi</t>
  </si>
  <si>
    <t>Dữ liệu được cập nhật</t>
  </si>
  <si>
    <t>Không cho lưu 
Hiển thị lỗi</t>
  </si>
  <si>
    <t>Lưu thành công 
Hiển thị trong danh sách</t>
  </si>
  <si>
    <t>thẻ Hiển thị đúng
Lật thẻ thành công
Điều hướng đúng
Star đổi màu</t>
  </si>
  <si>
    <t>Lưu thành công 
thông báo "Đã tạo thẻ Flashcard mới."
 Hiển thị trong danh sách</t>
  </si>
  <si>
    <t>Dữ liệu được cập nhật
thông báo "Đã cập nhật thẻ!
"</t>
  </si>
  <si>
    <t>Không cho lưu 
thông báo "Nhập đủ 2 mặt của thẻ!"</t>
  </si>
  <si>
    <t>Không cho cập nhật 
Báo lỗi "Nhập đủ 2 mặt nhé!"</t>
  </si>
  <si>
    <t>Thẻ bị xóa
thông báo "Đã xóa thẻ!"</t>
  </si>
  <si>
    <t>[Bộ đếm thời gian] Badge</t>
  </si>
  <si>
    <t>[Tiến độ câu hỏi] Badge</t>
  </si>
  <si>
    <t>[Khung câu hỏi] Panel</t>
  </si>
  <si>
    <t>[Đáp án A] Button (Selected)</t>
  </si>
  <si>
    <t>- Text: Black 
- Icon: Arrow left 
- Border: Black 
- Shape: Circle / Rounded Square 
- Trạng thái: Enable</t>
  </si>
  <si>
    <t>- Text: White 
- Background: Dark Green 
- Icon: Clock</t>
  </si>
  <si>
    <t>- Text: Black 
- Background: White 
- Border: Black</t>
  </si>
  <si>
    <t>- Text: Blue
-Dark (Bold, Center) 
- Label: Black 
- Border: Black 
- Shadow: Dày</t>
  </si>
  <si>
    <t>- Text: White (Bold) 
- Background: Green 
- Border: Black</t>
  </si>
  <si>
    <t>GUI-KT1</t>
  </si>
  <si>
    <t>GUI-KT2</t>
  </si>
  <si>
    <t>GUI-KT3</t>
  </si>
  <si>
    <t>GUI-KT4</t>
  </si>
  <si>
    <t>GUI-KT5</t>
  </si>
  <si>
    <t>GUI-KT6</t>
  </si>
  <si>
    <t>GUI-KT7</t>
  </si>
  <si>
    <t>GUI-KT8</t>
  </si>
  <si>
    <t>GUI-KT9</t>
  </si>
  <si>
    <t>GUI-KT10</t>
  </si>
  <si>
    <t>GUI_SHOW Trang Kiểm tra</t>
  </si>
  <si>
    <t>FUNCTION_SHOW Trang Kiểm tra</t>
  </si>
  <si>
    <t>Chi tiết thư mục</t>
  </si>
  <si>
    <t>GUI-CTTM10</t>
  </si>
  <si>
    <t>GUI-CTTM11</t>
  </si>
  <si>
    <t>GUI-CTTM12</t>
  </si>
  <si>
    <t>GUI-CTTM13</t>
  </si>
  <si>
    <t>GUI-CTTM14</t>
  </si>
  <si>
    <t>GUI-CTTM15</t>
  </si>
  <si>
    <t>Vào màn làm bài</t>
  </si>
  <si>
    <t>Người dùng đã chọn bộ câu hỏi</t>
  </si>
  <si>
    <t>1. Mở màn hình làm bài</t>
  </si>
  <si>
    <t>Làm bài cơ bản</t>
  </si>
  <si>
    <t>Theo dõi thời gian</t>
  </si>
  <si>
    <t>Bài đang chạy</t>
  </si>
  <si>
    <t>1. Quan sát timer</t>
  </si>
  <si>
    <t>Xem tiến độ làm bài</t>
  </si>
  <si>
    <t>Đang làm bài</t>
  </si>
  <si>
    <t>1. Quan sát badge tiến độ</t>
  </si>
  <si>
    <t>Có câu hỏi</t>
  </si>
  <si>
    <t>Làm hết bài</t>
  </si>
  <si>
    <t>Có nhiều câu</t>
  </si>
  <si>
    <t>1. Trả lời tất cả câu</t>
  </si>
  <si>
    <t>Quay lại khi đang làm bài</t>
  </si>
  <si>
    <t>1. Click [Quay lại]</t>
  </si>
  <si>
    <t>Làm bài với dữ liệu bất thường</t>
  </si>
  <si>
    <t>1. Nhập/chọn liên tục nhanh</t>
  </si>
  <si>
    <t>Hiển thị "Bạn có chắc chắn muốn quay lại?"</t>
  </si>
  <si>
    <t>Hiển thị đầy đủ: Quay lại, Timer, Tiến độ, Câu hỏi, Đáp án</t>
  </si>
  <si>
    <t>Thời gian giảm đúng từng giây</t>
  </si>
  <si>
    <t xml:space="preserve"> Không lỗi 
Không chọn nhiều đáp án</t>
  </si>
  <si>
    <t>Hiển thị đúng dạng x / tổng</t>
  </si>
  <si>
    <t>Tiến độ đạt 100%
Hiển thị bảng kết quả với số % làm đúng</t>
  </si>
  <si>
    <t xml:space="preserve">1. Quan sát câu hỏi 
2. Chọn 1 đáp án 
</t>
  </si>
  <si>
    <t>Có ít nhất 4 câu hỏi</t>
  </si>
  <si>
    <t>Hiển thị đúng câu hỏi
Chọn được 1 đáp án
Tiến độ tăng
Tự động sang câu tiếp</t>
  </si>
  <si>
    <t>Làm bài mà bài không có đủ 4 câu hỏi</t>
  </si>
  <si>
    <t>Báo lỗi "Folder phải có ít nhất 4 thẻ"</t>
  </si>
  <si>
    <t>Vẫn hiển thị trang làm bài nhưng lỗi dữ liệu</t>
  </si>
  <si>
    <t>Có tồn tại folder</t>
  </si>
  <si>
    <t>[Bảng kết quả] Text</t>
  </si>
  <si>
    <t>[Xem lại đáp án] Button</t>
  </si>
  <si>
    <t>[Hoàn tất] Button</t>
  </si>
  <si>
    <t>- Text: black (Bold) 
- Background: yellow
- Border: Black</t>
  </si>
  <si>
    <t>FUNC-KT1</t>
  </si>
  <si>
    <t>FUNC-KT2</t>
  </si>
  <si>
    <t>FUNC-KT3</t>
  </si>
  <si>
    <t>FUNC-KT4</t>
  </si>
  <si>
    <t>FUNC-KT5</t>
  </si>
  <si>
    <t>FUNC-KT6</t>
  </si>
  <si>
    <t>FUNC-KT7</t>
  </si>
  <si>
    <t>FUNC-KT8</t>
  </si>
  <si>
    <t>GUI-KT11</t>
  </si>
  <si>
    <t>GUI-KT12</t>
  </si>
  <si>
    <t>GUI-KT13</t>
  </si>
  <si>
    <t>GUI-KT14</t>
  </si>
  <si>
    <t>Xem lại đáp án sau khi hoàn thành bài kiểm tra</t>
  </si>
  <si>
    <t>1. Hoàn thành bài kiểm tra
2. Nhấn xem lại đáp án</t>
  </si>
  <si>
    <t>Có bài kiểm tra hợp lệ</t>
  </si>
  <si>
    <t>Hiển thị bảng Xem lại bài làm chi tiết đáp án được chọn, đáp án đúng, đáp án sai</t>
  </si>
  <si>
    <t>quay về màn hình trước ngay</t>
  </si>
  <si>
    <t>FUNC-KT9</t>
  </si>
  <si>
    <t>1. Nhập thiếu 1 trường 
2. Click lưu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</si>
</sst>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;@"/>
  </numFmts>
  <fonts count="17">
    <font>
      <sz val="11"/>
      <color theme="1"/>
      <name val="Calibri"/>
      <family val="2"/>
      <scheme val="minor"/>
    </font>
    <font>
      <sz val="11"/>
      <name val="ＭＳ Ｐゴシック"/>
      <family val="2"/>
    </font>
    <font>
      <sz val="13"/>
      <name val="Times New Roman"/>
      <family val="1"/>
    </font>
    <font>
      <b/>
      <sz val="13"/>
      <name val="Times New Roman"/>
      <family val="1"/>
    </font>
    <font>
      <sz val="13"/>
      <color theme="1"/>
      <name val="Times New Roman"/>
      <family val="1"/>
    </font>
    <font>
      <b/>
      <sz val="24"/>
      <name val="Times New Roman"/>
      <family val="1"/>
    </font>
    <font>
      <b/>
      <sz val="13"/>
      <color theme="1"/>
      <name val="Times New Roman"/>
      <family val="1"/>
    </font>
    <font>
      <sz val="13"/>
      <color rgb="FF000000"/>
      <name val="Times New Roman"/>
      <family val="1"/>
    </font>
    <font>
      <sz val="8"/>
      <name val="Calibri"/>
      <family val="2"/>
      <scheme val="minor"/>
    </font>
    <font>
      <sz val="13"/>
      <color rgb="FF00000A"/>
      <name val="Times New Roman"/>
      <family val="1"/>
    </font>
    <font>
      <sz val="13"/>
      <color indexed="8"/>
      <name val="Times New Roman"/>
      <family val="1"/>
    </font>
    <font>
      <b/>
      <sz val="13"/>
      <color indexed="9"/>
      <name val="Times New Roman"/>
      <family val="1"/>
    </font>
    <font>
      <sz val="13"/>
      <color indexed="63"/>
      <name val="Times New Roman"/>
      <family val="1"/>
    </font>
    <font>
      <sz val="10"/>
      <name val="Arial2"/>
    </font>
    <font>
      <b/>
      <sz val="13"/>
      <color rgb="FFFFFFFF"/>
      <name val="Times New Roman"/>
      <family val="1"/>
    </font>
    <font>
      <sz val="13"/>
      <color rgb="FF1F1F1F"/>
      <name val="Times New Roman"/>
      <family val="1"/>
    </font>
    <font>
      <sz val="13"/>
      <color rgb="FFC0000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theme="8" tint="0.59999389629810485"/>
        <bgColor indexed="38"/>
      </patternFill>
    </fill>
    <fill>
      <patternFill patternType="solid">
        <fgColor indexed="9"/>
        <bgColor indexed="26"/>
      </patternFill>
    </fill>
    <fill>
      <patternFill patternType="solid">
        <fgColor indexed="27"/>
        <bgColor indexed="41"/>
      </patternFill>
    </fill>
    <fill>
      <patternFill patternType="solid">
        <fgColor theme="0"/>
        <bgColor indexed="3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1"/>
        <bgColor indexed="38"/>
      </patternFill>
    </fill>
    <fill>
      <patternFill patternType="solid">
        <fgColor rgb="FFFF0000"/>
        <bgColor rgb="FFFFFFFF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13" fillId="0" borderId="0" applyBorder="0" applyProtection="0">
      <alignment vertical="center"/>
    </xf>
  </cellStyleXfs>
  <cellXfs count="101">
    <xf numFmtId="0" fontId="0" fillId="0" borderId="0" xfId="0"/>
    <xf numFmtId="0" fontId="4" fillId="0" borderId="4" xfId="0" applyFont="1" applyBorder="1" applyAlignment="1">
      <alignment horizontal="left" vertical="top" wrapText="1"/>
    </xf>
    <xf numFmtId="0" fontId="4" fillId="0" borderId="4" xfId="0" applyFont="1" applyBorder="1"/>
    <xf numFmtId="14" fontId="4" fillId="0" borderId="4" xfId="0" applyNumberFormat="1" applyFont="1" applyBorder="1" applyAlignment="1">
      <alignment horizontal="left" vertical="top" wrapText="1"/>
    </xf>
    <xf numFmtId="0" fontId="4" fillId="0" borderId="0" xfId="0" applyFont="1"/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6" fillId="6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justify" vertical="center" wrapText="1"/>
    </xf>
    <xf numFmtId="0" fontId="2" fillId="0" borderId="0" xfId="0" applyFont="1" applyAlignment="1">
      <alignment vertical="top"/>
    </xf>
    <xf numFmtId="0" fontId="9" fillId="0" borderId="0" xfId="0" applyFont="1" applyAlignment="1">
      <alignment horizontal="center" vertical="top"/>
    </xf>
    <xf numFmtId="14" fontId="4" fillId="0" borderId="0" xfId="0" applyNumberFormat="1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 wrapText="1"/>
    </xf>
    <xf numFmtId="0" fontId="2" fillId="4" borderId="0" xfId="0" applyFont="1" applyFill="1" applyAlignment="1">
      <alignment horizontal="left" vertical="top" wrapText="1"/>
    </xf>
    <xf numFmtId="0" fontId="2" fillId="0" borderId="4" xfId="0" applyFont="1" applyBorder="1" applyAlignment="1">
      <alignment vertical="top"/>
    </xf>
    <xf numFmtId="0" fontId="9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horizontal="left" vertical="top" wrapText="1"/>
    </xf>
    <xf numFmtId="0" fontId="2" fillId="0" borderId="4" xfId="0" applyFont="1" applyBorder="1" applyAlignment="1">
      <alignment vertical="top" wrapText="1"/>
    </xf>
    <xf numFmtId="0" fontId="4" fillId="4" borderId="4" xfId="0" applyFont="1" applyFill="1" applyBorder="1" applyAlignment="1">
      <alignment horizontal="left" vertical="top" wrapText="1"/>
    </xf>
    <xf numFmtId="0" fontId="2" fillId="4" borderId="4" xfId="0" applyFont="1" applyFill="1" applyBorder="1" applyAlignment="1">
      <alignment horizontal="left" vertical="top" wrapText="1"/>
    </xf>
    <xf numFmtId="0" fontId="2" fillId="0" borderId="0" xfId="0" applyFont="1"/>
    <xf numFmtId="0" fontId="3" fillId="5" borderId="4" xfId="0" applyFont="1" applyFill="1" applyBorder="1" applyAlignment="1">
      <alignment horizontal="left" vertical="center"/>
    </xf>
    <xf numFmtId="14" fontId="7" fillId="0" borderId="4" xfId="0" applyNumberFormat="1" applyFont="1" applyBorder="1" applyAlignment="1">
      <alignment horizontal="center" vertical="top"/>
    </xf>
    <xf numFmtId="0" fontId="10" fillId="4" borderId="4" xfId="0" applyFont="1" applyFill="1" applyBorder="1" applyAlignment="1">
      <alignment horizontal="left" vertical="top" wrapText="1"/>
    </xf>
    <xf numFmtId="0" fontId="2" fillId="4" borderId="4" xfId="1" applyFont="1" applyFill="1" applyBorder="1" applyAlignment="1">
      <alignment horizontal="left" vertical="top" wrapText="1"/>
    </xf>
    <xf numFmtId="0" fontId="3" fillId="5" borderId="4" xfId="0" applyFont="1" applyFill="1" applyBorder="1" applyAlignment="1">
      <alignment vertical="center"/>
    </xf>
    <xf numFmtId="0" fontId="11" fillId="9" borderId="4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top" wrapText="1"/>
    </xf>
    <xf numFmtId="164" fontId="2" fillId="0" borderId="0" xfId="0" applyNumberFormat="1" applyFont="1"/>
    <xf numFmtId="0" fontId="12" fillId="0" borderId="0" xfId="0" applyFont="1"/>
    <xf numFmtId="0" fontId="3" fillId="0" borderId="0" xfId="0" applyFont="1"/>
    <xf numFmtId="0" fontId="2" fillId="0" borderId="4" xfId="2" applyFont="1" applyBorder="1" applyAlignment="1" applyProtection="1">
      <alignment horizontal="center" vertical="center" wrapText="1"/>
    </xf>
    <xf numFmtId="0" fontId="2" fillId="0" borderId="4" xfId="0" applyFont="1" applyBorder="1" applyAlignment="1">
      <alignment horizontal="right" vertical="center" wrapText="1"/>
    </xf>
    <xf numFmtId="0" fontId="2" fillId="0" borderId="4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14" fillId="2" borderId="4" xfId="0" applyFont="1" applyFill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15" fillId="0" borderId="4" xfId="0" applyFont="1" applyBorder="1" applyAlignment="1">
      <alignment horizontal="left" vertical="center" wrapText="1" readingOrder="1"/>
    </xf>
    <xf numFmtId="0" fontId="2" fillId="0" borderId="4" xfId="0" quotePrefix="1" applyFont="1" applyBorder="1" applyAlignment="1">
      <alignment vertical="top" wrapText="1"/>
    </xf>
    <xf numFmtId="0" fontId="16" fillId="10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top" wrapText="1"/>
    </xf>
    <xf numFmtId="14" fontId="7" fillId="0" borderId="4" xfId="0" applyNumberFormat="1" applyFont="1" applyBorder="1" applyAlignment="1">
      <alignment horizontal="center" vertical="top" wrapText="1"/>
    </xf>
    <xf numFmtId="0" fontId="9" fillId="0" borderId="4" xfId="0" applyFont="1" applyBorder="1" applyAlignment="1">
      <alignment horizontal="center" vertical="top" wrapText="1"/>
    </xf>
    <xf numFmtId="0" fontId="3" fillId="5" borderId="4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14" fontId="4" fillId="0" borderId="4" xfId="0" applyNumberFormat="1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11" fillId="9" borderId="4" xfId="0" applyFont="1" applyFill="1" applyBorder="1" applyAlignment="1">
      <alignment horizontal="left" vertical="top" wrapText="1"/>
    </xf>
    <xf numFmtId="164" fontId="11" fillId="9" borderId="4" xfId="0" applyNumberFormat="1" applyFont="1" applyFill="1" applyBorder="1" applyAlignment="1">
      <alignment horizontal="left" vertical="top" wrapText="1"/>
    </xf>
    <xf numFmtId="0" fontId="3" fillId="5" borderId="4" xfId="0" applyFont="1" applyFill="1" applyBorder="1" applyAlignment="1">
      <alignment horizontal="left" vertical="top" wrapText="1"/>
    </xf>
    <xf numFmtId="0" fontId="15" fillId="0" borderId="4" xfId="0" applyFont="1" applyBorder="1" applyAlignment="1">
      <alignment horizontal="left" vertical="top" wrapText="1" readingOrder="1"/>
    </xf>
    <xf numFmtId="0" fontId="2" fillId="0" borderId="4" xfId="0" quotePrefix="1" applyFont="1" applyBorder="1" applyAlignment="1">
      <alignment horizontal="left" vertical="top" wrapText="1"/>
    </xf>
    <xf numFmtId="0" fontId="9" fillId="0" borderId="4" xfId="0" applyFont="1" applyBorder="1" applyAlignment="1">
      <alignment horizontal="left" vertical="top" wrapText="1"/>
    </xf>
    <xf numFmtId="14" fontId="7" fillId="0" borderId="4" xfId="0" applyNumberFormat="1" applyFont="1" applyBorder="1" applyAlignment="1">
      <alignment horizontal="left" vertical="top" wrapText="1"/>
    </xf>
    <xf numFmtId="0" fontId="4" fillId="0" borderId="4" xfId="0" quotePrefix="1" applyFont="1" applyBorder="1" applyAlignment="1">
      <alignment horizontal="left" vertical="top" wrapText="1"/>
    </xf>
    <xf numFmtId="0" fontId="2" fillId="0" borderId="4" xfId="0" applyFont="1" applyBorder="1" applyAlignment="1">
      <alignment wrapText="1"/>
    </xf>
    <xf numFmtId="0" fontId="4" fillId="0" borderId="4" xfId="0" quotePrefix="1" applyFont="1" applyBorder="1" applyAlignment="1">
      <alignment wrapText="1"/>
    </xf>
    <xf numFmtId="0" fontId="3" fillId="5" borderId="4" xfId="0" applyFont="1" applyFill="1" applyBorder="1" applyAlignment="1">
      <alignment horizontal="left" vertical="top"/>
    </xf>
    <xf numFmtId="0" fontId="3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left" vertical="center"/>
    </xf>
    <xf numFmtId="0" fontId="3" fillId="5" borderId="4" xfId="0" applyFont="1" applyFill="1" applyBorder="1" applyAlignment="1">
      <alignment vertical="center"/>
    </xf>
    <xf numFmtId="0" fontId="7" fillId="0" borderId="5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9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</cellXfs>
  <cellStyles count="3">
    <cellStyle name="Normal" xfId="0" builtinId="0"/>
    <cellStyle name="Normal 10" xfId="2" xr:uid="{1161CF17-AC91-464B-804D-0AD00BE979E1}"/>
    <cellStyle name="Normal_Sheet1" xfId="1" xr:uid="{00000000-0005-0000-0000-000001000000}"/>
  </cellStyles>
  <dxfs count="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1371601</xdr:colOff>
      <xdr:row>5</xdr:row>
      <xdr:rowOff>99392</xdr:rowOff>
    </xdr:from>
    <xdr:to>
      <xdr:col>4</xdr:col>
      <xdr:colOff>1311964</xdr:colOff>
      <xdr:row>5</xdr:row>
      <xdr:rowOff>5068146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5FFE122-445B-F48F-C764-A6401015C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1" y="1192697"/>
          <a:ext cx="10495721" cy="49687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670016</xdr:colOff>
      <xdr:row>5</xdr:row>
      <xdr:rowOff>323901</xdr:rowOff>
    </xdr:from>
    <xdr:to>
      <xdr:col>11</xdr:col>
      <xdr:colOff>606483</xdr:colOff>
      <xdr:row>5</xdr:row>
      <xdr:rowOff>4927829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B7D8F5B-CDF3-1537-EFF8-05D328C54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080553" y="1415256"/>
          <a:ext cx="4239526" cy="4603928"/>
        </a:xfrm>
        <a:prstGeom prst="rect">
          <a:avLst/>
        </a:prstGeom>
      </xdr:spPr>
    </xdr:pic>
    <xdr:clientData/>
  </xdr:twoCellAnchor>
  <xdr:twoCellAnchor editAs="oneCell">
    <xdr:from>
      <xdr:col>0</xdr:col>
      <xdr:colOff>179781</xdr:colOff>
      <xdr:row>5</xdr:row>
      <xdr:rowOff>273326</xdr:rowOff>
    </xdr:from>
    <xdr:to>
      <xdr:col>3</xdr:col>
      <xdr:colOff>1543487</xdr:colOff>
      <xdr:row>5</xdr:row>
      <xdr:rowOff>4745917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DCDAEEB-DBC3-BBA6-9E32-123E3034B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9781" y="1364681"/>
          <a:ext cx="9486510" cy="4472591"/>
        </a:xfrm>
        <a:prstGeom prst="rect">
          <a:avLst/>
        </a:prstGeom>
      </xdr:spPr>
    </xdr:pic>
    <xdr:clientData/>
  </xdr:twoCellAnchor>
  <xdr:twoCellAnchor editAs="oneCell">
    <xdr:from>
      <xdr:col>3</xdr:col>
      <xdr:colOff>1785632</xdr:colOff>
      <xdr:row>5</xdr:row>
      <xdr:rowOff>257736</xdr:rowOff>
    </xdr:from>
    <xdr:to>
      <xdr:col>8</xdr:col>
      <xdr:colOff>483198</xdr:colOff>
      <xdr:row>5</xdr:row>
      <xdr:rowOff>4973464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289FBA-5689-1405-009D-18A61A2B8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08436" y="1349091"/>
          <a:ext cx="9985299" cy="471572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1386381</xdr:colOff>
      <xdr:row>5</xdr:row>
      <xdr:rowOff>101939</xdr:rowOff>
    </xdr:from>
    <xdr:to>
      <xdr:col>4</xdr:col>
      <xdr:colOff>849594</xdr:colOff>
      <xdr:row>5</xdr:row>
      <xdr:rowOff>4893110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5D277D-D834-C0A9-4C39-B44F2CBEF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6381" y="1223277"/>
          <a:ext cx="10044564" cy="4791171"/>
        </a:xfrm>
        <a:prstGeom prst="rect">
          <a:avLst/>
        </a:prstGeom>
      </xdr:spPr>
    </xdr:pic>
    <xdr:clientData/>
  </xdr:twoCellAnchor>
  <xdr:twoCellAnchor editAs="oneCell">
    <xdr:from>
      <xdr:col>4</xdr:col>
      <xdr:colOff>1047095</xdr:colOff>
      <xdr:row>5</xdr:row>
      <xdr:rowOff>566918</xdr:rowOff>
    </xdr:from>
    <xdr:to>
      <xdr:col>5</xdr:col>
      <xdr:colOff>2860813</xdr:colOff>
      <xdr:row>5</xdr:row>
      <xdr:rowOff>4596555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8FE48A7-3F0E-6371-19EC-77D71C8B52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615100" y="1651187"/>
          <a:ext cx="4546077" cy="402963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704258</xdr:colOff>
      <xdr:row>5</xdr:row>
      <xdr:rowOff>318052</xdr:rowOff>
    </xdr:from>
    <xdr:to>
      <xdr:col>4</xdr:col>
      <xdr:colOff>2482235</xdr:colOff>
      <xdr:row>5</xdr:row>
      <xdr:rowOff>5166954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38920AF-EBB8-65C3-357D-204F3C816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4588" y="1397158"/>
          <a:ext cx="4220164" cy="4848902"/>
        </a:xfrm>
        <a:prstGeom prst="rect">
          <a:avLst/>
        </a:prstGeom>
      </xdr:spPr>
    </xdr:pic>
    <xdr:clientData/>
  </xdr:twoCellAnchor>
  <xdr:twoCellAnchor editAs="oneCell">
    <xdr:from>
      <xdr:col>5</xdr:col>
      <xdr:colOff>56796</xdr:colOff>
      <xdr:row>5</xdr:row>
      <xdr:rowOff>484717</xdr:rowOff>
    </xdr:from>
    <xdr:to>
      <xdr:col>6</xdr:col>
      <xdr:colOff>504035</xdr:colOff>
      <xdr:row>5</xdr:row>
      <xdr:rowOff>4975244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72FA640-985E-0E66-6079-11558DE5AE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119653" y="1563823"/>
          <a:ext cx="4093482" cy="4490527"/>
        </a:xfrm>
        <a:prstGeom prst="rect">
          <a:avLst/>
        </a:prstGeom>
      </xdr:spPr>
    </xdr:pic>
    <xdr:clientData/>
  </xdr:twoCellAnchor>
  <xdr:twoCellAnchor editAs="oneCell">
    <xdr:from>
      <xdr:col>1</xdr:col>
      <xdr:colOff>193104</xdr:colOff>
      <xdr:row>5</xdr:row>
      <xdr:rowOff>132587</xdr:rowOff>
    </xdr:from>
    <xdr:to>
      <xdr:col>3</xdr:col>
      <xdr:colOff>54206</xdr:colOff>
      <xdr:row>5</xdr:row>
      <xdr:rowOff>5105331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036D553-BCF5-AF57-AAAC-12163144B8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15211" y="1211693"/>
          <a:ext cx="6449325" cy="49727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198783</xdr:colOff>
      <xdr:row>5</xdr:row>
      <xdr:rowOff>225328</xdr:rowOff>
    </xdr:from>
    <xdr:ext cx="10409778" cy="5184505"/>
    <xdr:pic>
      <xdr:nvPicPr>
        <xdr:cNvPr id="2" name="Picture 1">
          <a:extLst>
            <a:ext uri="{FF2B5EF4-FFF2-40B4-BE49-F238E27FC236}">
              <a16:creationId xmlns:a16="http://schemas.microsoft.com/office/drawing/2014/main" id="{46195D60-87B6-47B5-ACFC-69E4D2E5C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8783" y="1278876"/>
          <a:ext cx="10409778" cy="5184505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</xdr:row>
      <xdr:rowOff>33617</xdr:rowOff>
    </xdr:from>
    <xdr:ext cx="3943719" cy="5087060"/>
    <xdr:pic>
      <xdr:nvPicPr>
        <xdr:cNvPr id="2" name="Picture 1">
          <a:extLst>
            <a:ext uri="{FF2B5EF4-FFF2-40B4-BE49-F238E27FC236}">
              <a16:creationId xmlns:a16="http://schemas.microsoft.com/office/drawing/2014/main" id="{32A10480-F3F4-4A64-A9E0-3E431480E2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87774"/>
          <a:ext cx="3943719" cy="508706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topLeftCell="A3" zoomScale="78" workbookViewId="0">
      <selection activeCell="C9" sqref="C9"/>
    </sheetView>
  </sheetViews>
  <sheetFormatPr defaultRowHeight="15.05"/>
  <cols>
    <col min="1" max="1" width="14.33203125" bestFit="1" customWidth="1"/>
    <col min="2" max="2" width="41.33203125" customWidth="1"/>
    <col min="3" max="3" width="38.109375" customWidth="1"/>
    <col min="4" max="4" width="13.77734375" customWidth="1"/>
    <col min="5" max="5" width="14" customWidth="1"/>
  </cols>
  <sheetData>
    <row r="1" spans="1:5" ht="15.05" customHeight="1">
      <c r="A1" s="83" t="s">
        <v>0</v>
      </c>
      <c r="B1" s="84"/>
      <c r="C1" s="84"/>
      <c r="D1" s="84"/>
      <c r="E1" s="84"/>
    </row>
    <row r="2" spans="1:5" ht="11.3" customHeight="1">
      <c r="A2" s="85"/>
      <c r="B2" s="86"/>
      <c r="C2" s="86"/>
      <c r="D2" s="86"/>
      <c r="E2" s="86"/>
    </row>
    <row r="3" spans="1:5" ht="42.75" customHeight="1">
      <c r="A3" s="87" t="s">
        <v>0</v>
      </c>
      <c r="B3" s="87"/>
      <c r="C3" s="87"/>
      <c r="D3" s="87"/>
      <c r="E3" s="87"/>
    </row>
    <row r="4" spans="1:5">
      <c r="A4" s="87"/>
      <c r="B4" s="87"/>
      <c r="C4" s="87"/>
      <c r="D4" s="87"/>
      <c r="E4" s="87"/>
    </row>
    <row r="5" spans="1:5" ht="20.05" customHeight="1">
      <c r="A5" s="10" t="s">
        <v>1</v>
      </c>
      <c r="B5" s="94" t="s">
        <v>30</v>
      </c>
      <c r="C5" s="95"/>
      <c r="D5" s="95"/>
      <c r="E5" s="96"/>
    </row>
    <row r="6" spans="1:5" ht="33.85">
      <c r="A6" s="11" t="s">
        <v>2</v>
      </c>
      <c r="B6" s="11" t="s">
        <v>3</v>
      </c>
      <c r="C6" s="11" t="s">
        <v>4</v>
      </c>
      <c r="D6" s="11" t="s">
        <v>31</v>
      </c>
      <c r="E6" s="11" t="s">
        <v>5</v>
      </c>
    </row>
    <row r="7" spans="1:5" ht="16.899999999999999">
      <c r="A7" s="78">
        <v>1</v>
      </c>
      <c r="B7" s="97" t="s">
        <v>34</v>
      </c>
      <c r="C7" s="13" t="s">
        <v>122</v>
      </c>
      <c r="D7" s="5">
        <v>15</v>
      </c>
      <c r="E7" s="75" t="s">
        <v>32</v>
      </c>
    </row>
    <row r="8" spans="1:5" ht="16.899999999999999">
      <c r="A8" s="79"/>
      <c r="B8" s="98"/>
      <c r="C8" s="13" t="s">
        <v>170</v>
      </c>
      <c r="D8" s="5">
        <v>21</v>
      </c>
      <c r="E8" s="76"/>
    </row>
    <row r="9" spans="1:5" ht="16.899999999999999">
      <c r="A9" s="79"/>
      <c r="B9" s="98"/>
      <c r="C9" s="13" t="s">
        <v>171</v>
      </c>
      <c r="D9" s="5">
        <v>24</v>
      </c>
      <c r="E9" s="76"/>
    </row>
    <row r="10" spans="1:5" ht="16.899999999999999">
      <c r="A10" s="80"/>
      <c r="B10" s="99"/>
      <c r="C10" s="13" t="s">
        <v>124</v>
      </c>
      <c r="D10" s="5">
        <v>23</v>
      </c>
      <c r="E10" s="77"/>
    </row>
    <row r="11" spans="1:5" ht="16.899999999999999">
      <c r="A11" s="5">
        <v>2</v>
      </c>
      <c r="B11" s="100" t="s">
        <v>35</v>
      </c>
      <c r="C11" s="13" t="s">
        <v>35</v>
      </c>
      <c r="D11" s="5">
        <v>0</v>
      </c>
      <c r="E11" s="81" t="s">
        <v>33</v>
      </c>
    </row>
    <row r="12" spans="1:5" ht="16.899999999999999">
      <c r="A12" s="12">
        <v>3</v>
      </c>
      <c r="B12" s="100" t="s">
        <v>36</v>
      </c>
      <c r="C12" s="13" t="s">
        <v>36</v>
      </c>
      <c r="D12" s="5">
        <v>0</v>
      </c>
      <c r="E12" s="82"/>
    </row>
    <row r="13" spans="1:5" ht="16.899999999999999">
      <c r="A13" s="5">
        <v>4</v>
      </c>
      <c r="B13" s="100" t="s">
        <v>83</v>
      </c>
      <c r="C13" s="13" t="s">
        <v>83</v>
      </c>
      <c r="D13" s="5">
        <v>13</v>
      </c>
      <c r="E13" s="81" t="s">
        <v>24</v>
      </c>
    </row>
    <row r="14" spans="1:5" ht="16.899999999999999">
      <c r="A14" s="12">
        <v>5</v>
      </c>
      <c r="B14" s="100" t="s">
        <v>116</v>
      </c>
      <c r="C14" s="13" t="s">
        <v>116</v>
      </c>
      <c r="D14" s="5">
        <v>9</v>
      </c>
      <c r="E14" s="82"/>
    </row>
    <row r="16" spans="1:5" ht="16.899999999999999">
      <c r="B16" s="8"/>
      <c r="C16" s="8"/>
      <c r="D16" s="8"/>
      <c r="E16" s="9"/>
    </row>
    <row r="17" spans="2:5" ht="16.899999999999999">
      <c r="B17" s="8"/>
      <c r="C17" s="8"/>
      <c r="D17" s="8"/>
      <c r="E17" s="9"/>
    </row>
  </sheetData>
  <mergeCells count="8">
    <mergeCell ref="A1:E2"/>
    <mergeCell ref="A3:E4"/>
    <mergeCell ref="B5:E5"/>
    <mergeCell ref="B7:B10"/>
    <mergeCell ref="A7:A10"/>
    <mergeCell ref="E7:E10"/>
    <mergeCell ref="E11:E12"/>
    <mergeCell ref="E13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6707B-D08A-430A-9233-A7C2828D58C2}">
  <dimension ref="A1:M26"/>
  <sheetViews>
    <sheetView tabSelected="1" zoomScale="32" zoomScaleNormal="32" workbookViewId="0">
      <selection activeCell="F6" sqref="F6"/>
    </sheetView>
  </sheetViews>
  <sheetFormatPr defaultColWidth="9.109375" defaultRowHeight="16.899999999999999"/>
  <cols>
    <col min="1" max="1" width="21.33203125" style="4" bestFit="1" customWidth="1"/>
    <col min="2" max="2" width="40.6640625" style="4" bestFit="1" customWidth="1"/>
    <col min="3" max="3" width="51.44140625" style="4" customWidth="1"/>
    <col min="4" max="4" width="34.109375" style="4" customWidth="1"/>
    <col min="5" max="5" width="35.109375" style="4" customWidth="1"/>
    <col min="6" max="6" width="51" style="4" customWidth="1"/>
    <col min="7" max="7" width="16" style="4" bestFit="1" customWidth="1"/>
    <col min="8" max="8" width="21.5546875" style="4" bestFit="1" customWidth="1"/>
    <col min="9" max="9" width="22.6640625" style="4" bestFit="1" customWidth="1"/>
    <col min="10" max="10" width="16" style="4" bestFit="1" customWidth="1"/>
    <col min="11" max="11" width="21.5546875" style="4" bestFit="1" customWidth="1"/>
    <col min="12" max="12" width="22.6640625" style="4" bestFit="1" customWidth="1"/>
    <col min="13" max="13" width="16" style="4" bestFit="1" customWidth="1"/>
    <col min="14" max="16384" width="9.109375" style="4"/>
  </cols>
  <sheetData>
    <row r="1" spans="1:13" s="27" customFormat="1">
      <c r="A1" s="44" t="s">
        <v>6</v>
      </c>
      <c r="B1" s="88" t="s">
        <v>30</v>
      </c>
      <c r="C1" s="89"/>
      <c r="D1" s="89"/>
      <c r="E1" s="89"/>
      <c r="F1" s="90"/>
      <c r="G1" s="17"/>
      <c r="H1" s="36"/>
      <c r="J1" s="17"/>
    </row>
    <row r="2" spans="1:13" s="27" customFormat="1">
      <c r="A2" s="44" t="s">
        <v>7</v>
      </c>
      <c r="B2" s="43" t="s">
        <v>122</v>
      </c>
      <c r="C2" s="43"/>
      <c r="D2" s="43"/>
      <c r="E2" s="43"/>
      <c r="F2" s="43"/>
      <c r="G2" s="17"/>
      <c r="H2" s="36"/>
      <c r="J2" s="17"/>
    </row>
    <row r="3" spans="1:13" s="27" customFormat="1">
      <c r="A3" s="41"/>
      <c r="B3" s="33" t="s">
        <v>8</v>
      </c>
      <c r="C3" s="33" t="s">
        <v>9</v>
      </c>
      <c r="D3" s="33" t="s">
        <v>10</v>
      </c>
      <c r="E3" s="33" t="s">
        <v>82</v>
      </c>
      <c r="F3" s="33" t="s">
        <v>81</v>
      </c>
      <c r="G3" s="17"/>
      <c r="H3" s="36"/>
      <c r="J3" s="17"/>
    </row>
    <row r="4" spans="1:13" s="27" customFormat="1">
      <c r="A4" s="42" t="s">
        <v>11</v>
      </c>
      <c r="B4" s="39">
        <v>15</v>
      </c>
      <c r="C4" s="39">
        <v>2</v>
      </c>
      <c r="D4" s="45">
        <f>COUNTIF(G11:G19,"Untested")</f>
        <v>0</v>
      </c>
      <c r="E4" s="45">
        <f>COUNTIF(G11:G19,"Blocked")</f>
        <v>0</v>
      </c>
      <c r="F4" s="39">
        <v>15</v>
      </c>
      <c r="G4" s="17"/>
      <c r="H4" s="36"/>
      <c r="J4" s="17"/>
    </row>
    <row r="5" spans="1:13" s="27" customFormat="1">
      <c r="A5" s="42" t="s">
        <v>12</v>
      </c>
      <c r="B5" s="39">
        <v>0</v>
      </c>
      <c r="C5" s="39">
        <v>0</v>
      </c>
      <c r="D5" s="45">
        <f>COUNTIF(J11:J19,"Untested")</f>
        <v>0</v>
      </c>
      <c r="E5" s="45">
        <f>COUNTIF(J11:J19,"Blocked")</f>
        <v>0</v>
      </c>
      <c r="F5" s="45">
        <v>0</v>
      </c>
      <c r="G5" s="17"/>
      <c r="H5" s="36"/>
      <c r="J5" s="17"/>
    </row>
    <row r="6" spans="1:13" s="27" customFormat="1" ht="409.6" customHeight="1">
      <c r="A6" s="38"/>
      <c r="B6" s="37"/>
      <c r="E6" s="18"/>
      <c r="G6" s="17"/>
      <c r="H6" s="36"/>
      <c r="J6" s="17"/>
    </row>
    <row r="7" spans="1:13" s="27" customFormat="1">
      <c r="A7" s="33" t="s">
        <v>13</v>
      </c>
      <c r="B7" s="33" t="s">
        <v>5</v>
      </c>
      <c r="C7" s="33" t="s">
        <v>80</v>
      </c>
      <c r="D7" s="33" t="s">
        <v>14</v>
      </c>
      <c r="E7" s="33" t="s">
        <v>15</v>
      </c>
      <c r="F7" s="33" t="s">
        <v>16</v>
      </c>
      <c r="G7" s="33" t="s">
        <v>17</v>
      </c>
      <c r="H7" s="33"/>
      <c r="I7" s="33"/>
      <c r="J7" s="33" t="s">
        <v>17</v>
      </c>
      <c r="K7" s="33"/>
      <c r="L7" s="33"/>
      <c r="M7" s="33" t="s">
        <v>18</v>
      </c>
    </row>
    <row r="8" spans="1:13" s="27" customFormat="1">
      <c r="A8" s="33"/>
      <c r="B8" s="33"/>
      <c r="C8" s="33"/>
      <c r="D8" s="33"/>
      <c r="E8" s="33"/>
      <c r="F8" s="33"/>
      <c r="G8" s="33" t="s">
        <v>19</v>
      </c>
      <c r="H8" s="33"/>
      <c r="I8" s="33"/>
      <c r="J8" s="33" t="s">
        <v>20</v>
      </c>
      <c r="K8" s="33"/>
      <c r="L8" s="33"/>
      <c r="M8" s="33"/>
    </row>
    <row r="9" spans="1:13" s="27" customFormat="1">
      <c r="A9" s="33"/>
      <c r="B9" s="33"/>
      <c r="C9" s="33"/>
      <c r="D9" s="33"/>
      <c r="E9" s="33"/>
      <c r="F9" s="33"/>
      <c r="G9" s="35" t="s">
        <v>21</v>
      </c>
      <c r="H9" s="34" t="s">
        <v>22</v>
      </c>
      <c r="I9" s="33" t="s">
        <v>23</v>
      </c>
      <c r="J9" s="35" t="s">
        <v>21</v>
      </c>
      <c r="K9" s="34" t="s">
        <v>22</v>
      </c>
      <c r="L9" s="33" t="s">
        <v>23</v>
      </c>
      <c r="M9" s="33"/>
    </row>
    <row r="10" spans="1:13" s="27" customFormat="1">
      <c r="A10" s="32" t="s">
        <v>134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</row>
    <row r="11" spans="1:13" s="27" customFormat="1" ht="33.85">
      <c r="A11" s="47" t="s">
        <v>145</v>
      </c>
      <c r="B11" s="7" t="s">
        <v>125</v>
      </c>
      <c r="C11" s="24"/>
      <c r="D11" s="24"/>
      <c r="E11" s="48" t="s">
        <v>119</v>
      </c>
      <c r="F11" s="48" t="s">
        <v>119</v>
      </c>
      <c r="G11" s="49" t="s">
        <v>117</v>
      </c>
      <c r="H11" s="6">
        <v>46085</v>
      </c>
      <c r="I11" s="50" t="s">
        <v>32</v>
      </c>
      <c r="J11" s="51"/>
      <c r="K11" s="52"/>
      <c r="L11" s="53"/>
      <c r="M11" s="24"/>
    </row>
    <row r="12" spans="1:13" s="27" customFormat="1" ht="67.650000000000006">
      <c r="A12" s="47" t="s">
        <v>146</v>
      </c>
      <c r="B12" s="7" t="s">
        <v>126</v>
      </c>
      <c r="C12" s="24"/>
      <c r="D12" s="24"/>
      <c r="E12" s="48" t="s">
        <v>118</v>
      </c>
      <c r="F12" s="48" t="s">
        <v>118</v>
      </c>
      <c r="G12" s="49" t="s">
        <v>117</v>
      </c>
      <c r="H12" s="6">
        <v>46085</v>
      </c>
      <c r="I12" s="50" t="s">
        <v>32</v>
      </c>
      <c r="J12" s="51"/>
      <c r="K12" s="52"/>
      <c r="L12" s="53"/>
      <c r="M12" s="24"/>
    </row>
    <row r="13" spans="1:13" s="27" customFormat="1" ht="67.650000000000006">
      <c r="A13" s="47" t="s">
        <v>147</v>
      </c>
      <c r="B13" s="7" t="s">
        <v>127</v>
      </c>
      <c r="C13" s="24"/>
      <c r="D13" s="24"/>
      <c r="E13" s="48" t="s">
        <v>118</v>
      </c>
      <c r="F13" s="48" t="s">
        <v>118</v>
      </c>
      <c r="G13" s="49" t="s">
        <v>117</v>
      </c>
      <c r="H13" s="6">
        <v>46085</v>
      </c>
      <c r="I13" s="50" t="s">
        <v>32</v>
      </c>
      <c r="J13" s="51"/>
      <c r="K13" s="52"/>
      <c r="L13" s="53"/>
      <c r="M13" s="24"/>
    </row>
    <row r="14" spans="1:13" s="27" customFormat="1" ht="50.75">
      <c r="A14" s="47" t="s">
        <v>148</v>
      </c>
      <c r="B14" s="7" t="s">
        <v>128</v>
      </c>
      <c r="C14" s="24"/>
      <c r="D14" s="24"/>
      <c r="E14" s="48" t="s">
        <v>131</v>
      </c>
      <c r="F14" s="48" t="s">
        <v>131</v>
      </c>
      <c r="G14" s="49" t="s">
        <v>117</v>
      </c>
      <c r="H14" s="6">
        <v>46085</v>
      </c>
      <c r="I14" s="50" t="s">
        <v>32</v>
      </c>
      <c r="J14" s="51"/>
      <c r="K14" s="52"/>
      <c r="L14" s="53"/>
      <c r="M14" s="24"/>
    </row>
    <row r="15" spans="1:13" s="27" customFormat="1" ht="67.650000000000006">
      <c r="A15" s="47" t="s">
        <v>149</v>
      </c>
      <c r="B15" s="7" t="s">
        <v>129</v>
      </c>
      <c r="C15" s="24"/>
      <c r="D15" s="24"/>
      <c r="E15" s="48" t="s">
        <v>132</v>
      </c>
      <c r="F15" s="48" t="s">
        <v>132</v>
      </c>
      <c r="G15" s="49" t="s">
        <v>117</v>
      </c>
      <c r="H15" s="6">
        <v>46085</v>
      </c>
      <c r="I15" s="50" t="s">
        <v>32</v>
      </c>
      <c r="J15" s="51"/>
      <c r="K15" s="52"/>
      <c r="L15" s="53"/>
      <c r="M15" s="24"/>
    </row>
    <row r="16" spans="1:13" s="27" customFormat="1" ht="67.650000000000006">
      <c r="A16" s="47" t="s">
        <v>150</v>
      </c>
      <c r="B16" s="7" t="s">
        <v>130</v>
      </c>
      <c r="C16" s="24"/>
      <c r="D16" s="24"/>
      <c r="E16" s="48" t="s">
        <v>133</v>
      </c>
      <c r="F16" s="48" t="s">
        <v>133</v>
      </c>
      <c r="G16" s="49" t="s">
        <v>117</v>
      </c>
      <c r="H16" s="6">
        <v>46085</v>
      </c>
      <c r="I16" s="50" t="s">
        <v>32</v>
      </c>
      <c r="J16" s="51"/>
      <c r="K16" s="52"/>
      <c r="L16" s="53"/>
      <c r="M16" s="24"/>
    </row>
    <row r="17" spans="1:13" s="27" customFormat="1">
      <c r="A17" s="28" t="s">
        <v>135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</row>
    <row r="18" spans="1:13" s="27" customFormat="1" ht="33.85">
      <c r="A18" s="55" t="s">
        <v>141</v>
      </c>
      <c r="B18" s="56" t="s">
        <v>136</v>
      </c>
      <c r="C18" s="56" t="s">
        <v>138</v>
      </c>
      <c r="D18" s="56" t="s">
        <v>120</v>
      </c>
      <c r="E18" s="56" t="s">
        <v>139</v>
      </c>
      <c r="F18" s="56" t="s">
        <v>139</v>
      </c>
      <c r="G18" s="49" t="s">
        <v>117</v>
      </c>
      <c r="H18" s="6">
        <v>46085</v>
      </c>
      <c r="I18" s="50" t="s">
        <v>32</v>
      </c>
      <c r="J18" s="24"/>
      <c r="K18" s="57"/>
      <c r="L18" s="58"/>
      <c r="M18" s="24"/>
    </row>
    <row r="19" spans="1:13" s="27" customFormat="1" ht="50.75">
      <c r="A19" s="55" t="s">
        <v>142</v>
      </c>
      <c r="B19" s="56" t="s">
        <v>123</v>
      </c>
      <c r="C19" s="56" t="s">
        <v>168</v>
      </c>
      <c r="D19" s="56" t="s">
        <v>120</v>
      </c>
      <c r="E19" s="56" t="s">
        <v>167</v>
      </c>
      <c r="F19" s="56" t="s">
        <v>167</v>
      </c>
      <c r="G19" s="49" t="s">
        <v>117</v>
      </c>
      <c r="H19" s="6">
        <v>46085</v>
      </c>
      <c r="I19" s="50" t="s">
        <v>32</v>
      </c>
      <c r="J19" s="24"/>
      <c r="K19" s="57"/>
      <c r="L19" s="58"/>
      <c r="M19" s="24"/>
    </row>
    <row r="20" spans="1:13" s="27" customFormat="1" ht="50.75">
      <c r="A20" s="55" t="s">
        <v>143</v>
      </c>
      <c r="B20" s="56" t="s">
        <v>172</v>
      </c>
      <c r="C20" s="56" t="s">
        <v>173</v>
      </c>
      <c r="D20" s="56" t="s">
        <v>120</v>
      </c>
      <c r="E20" s="56" t="s">
        <v>174</v>
      </c>
      <c r="F20" s="56" t="s">
        <v>167</v>
      </c>
      <c r="G20" s="49" t="s">
        <v>121</v>
      </c>
      <c r="H20" s="6">
        <v>46085</v>
      </c>
      <c r="I20" s="50" t="s">
        <v>32</v>
      </c>
      <c r="J20" s="24"/>
      <c r="K20" s="57"/>
      <c r="L20" s="58"/>
      <c r="M20" s="24"/>
    </row>
    <row r="21" spans="1:13" s="27" customFormat="1" ht="33.85">
      <c r="A21" s="55" t="s">
        <v>144</v>
      </c>
      <c r="B21" s="56" t="s">
        <v>151</v>
      </c>
      <c r="C21" s="56" t="s">
        <v>169</v>
      </c>
      <c r="D21" s="56" t="s">
        <v>120</v>
      </c>
      <c r="E21" s="56" t="s">
        <v>166</v>
      </c>
      <c r="F21" s="56" t="s">
        <v>166</v>
      </c>
      <c r="G21" s="49" t="s">
        <v>117</v>
      </c>
      <c r="H21" s="6">
        <v>46085</v>
      </c>
      <c r="I21" s="50" t="s">
        <v>32</v>
      </c>
      <c r="J21" s="24"/>
      <c r="K21" s="57"/>
      <c r="L21" s="58"/>
      <c r="M21" s="24"/>
    </row>
    <row r="22" spans="1:13" s="27" customFormat="1" ht="67.650000000000006">
      <c r="A22" s="55" t="s">
        <v>248</v>
      </c>
      <c r="B22" s="56" t="s">
        <v>137</v>
      </c>
      <c r="C22" s="56" t="s">
        <v>158</v>
      </c>
      <c r="D22" s="56" t="s">
        <v>140</v>
      </c>
      <c r="E22" s="56" t="s">
        <v>160</v>
      </c>
      <c r="F22" s="56" t="s">
        <v>159</v>
      </c>
      <c r="G22" s="49" t="s">
        <v>121</v>
      </c>
      <c r="H22" s="6">
        <v>46085</v>
      </c>
      <c r="I22" s="50" t="s">
        <v>32</v>
      </c>
      <c r="J22" s="24"/>
      <c r="K22" s="57"/>
      <c r="L22" s="58"/>
      <c r="M22" s="24"/>
    </row>
    <row r="23" spans="1:13" s="27" customFormat="1" ht="67.650000000000006">
      <c r="A23" s="55" t="s">
        <v>249</v>
      </c>
      <c r="B23" s="56" t="s">
        <v>161</v>
      </c>
      <c r="C23" s="56" t="s">
        <v>162</v>
      </c>
      <c r="D23" s="56" t="s">
        <v>140</v>
      </c>
      <c r="E23" s="56" t="s">
        <v>163</v>
      </c>
      <c r="F23" s="56" t="s">
        <v>163</v>
      </c>
      <c r="G23" s="49" t="s">
        <v>117</v>
      </c>
      <c r="H23" s="6">
        <v>46085</v>
      </c>
      <c r="I23" s="50" t="s">
        <v>32</v>
      </c>
      <c r="J23" s="24"/>
      <c r="K23" s="57"/>
      <c r="L23" s="58"/>
      <c r="M23" s="24"/>
    </row>
    <row r="24" spans="1:13" s="27" customFormat="1" ht="67.650000000000006">
      <c r="A24" s="55" t="s">
        <v>250</v>
      </c>
      <c r="B24" s="56" t="s">
        <v>164</v>
      </c>
      <c r="C24" s="56" t="s">
        <v>165</v>
      </c>
      <c r="D24" s="56" t="s">
        <v>140</v>
      </c>
      <c r="E24" s="56" t="s">
        <v>166</v>
      </c>
      <c r="F24" s="56" t="s">
        <v>166</v>
      </c>
      <c r="G24" s="49" t="s">
        <v>117</v>
      </c>
      <c r="H24" s="6">
        <v>46085</v>
      </c>
      <c r="I24" s="50" t="s">
        <v>32</v>
      </c>
      <c r="J24" s="24"/>
      <c r="K24" s="57"/>
      <c r="L24" s="58"/>
      <c r="M24" s="24"/>
    </row>
    <row r="25" spans="1:13" ht="33.85">
      <c r="A25" s="55" t="s">
        <v>251</v>
      </c>
      <c r="B25" s="56" t="s">
        <v>152</v>
      </c>
      <c r="C25" s="56" t="s">
        <v>153</v>
      </c>
      <c r="D25" s="56" t="s">
        <v>140</v>
      </c>
      <c r="E25" s="56" t="s">
        <v>154</v>
      </c>
      <c r="F25" s="56" t="s">
        <v>154</v>
      </c>
      <c r="G25" s="49" t="s">
        <v>117</v>
      </c>
      <c r="H25" s="6">
        <v>46085</v>
      </c>
      <c r="I25" s="50" t="s">
        <v>32</v>
      </c>
      <c r="J25" s="24"/>
      <c r="K25" s="57"/>
      <c r="L25" s="58"/>
      <c r="M25" s="24"/>
    </row>
    <row r="26" spans="1:13" ht="33.85">
      <c r="A26" s="55" t="s">
        <v>252</v>
      </c>
      <c r="B26" s="56" t="s">
        <v>155</v>
      </c>
      <c r="C26" s="56" t="s">
        <v>156</v>
      </c>
      <c r="D26" s="56" t="s">
        <v>140</v>
      </c>
      <c r="E26" s="56" t="s">
        <v>157</v>
      </c>
      <c r="F26" s="56" t="s">
        <v>157</v>
      </c>
      <c r="G26" s="49" t="s">
        <v>117</v>
      </c>
      <c r="H26" s="6">
        <v>46085</v>
      </c>
      <c r="I26" s="50" t="s">
        <v>32</v>
      </c>
      <c r="J26" s="24"/>
      <c r="K26" s="57"/>
      <c r="L26" s="58"/>
      <c r="M26" s="24"/>
    </row>
  </sheetData>
  <mergeCells count="1">
    <mergeCell ref="B1:F1"/>
  </mergeCells>
  <phoneticPr fontId="8" type="noConversion"/>
  <conditionalFormatting sqref="G11:G16">
    <cfRule type="containsText" dxfId="62" priority="9" operator="containsText" text="Pass">
      <formula>NOT(ISERROR(SEARCH("Pass",G11)))</formula>
    </cfRule>
    <cfRule type="containsText" dxfId="61" priority="10" operator="containsText" text="Fail">
      <formula>NOT(ISERROR(SEARCH("Fail",G11)))</formula>
    </cfRule>
    <cfRule type="containsText" dxfId="60" priority="11" operator="containsText" text="Pass">
      <formula>NOT(ISERROR(SEARCH("Pass",G11)))</formula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8:G26">
    <cfRule type="containsText" dxfId="59" priority="21" operator="containsText" text="Pass">
      <formula>NOT(ISERROR(SEARCH("Pass",G18)))</formula>
    </cfRule>
    <cfRule type="containsText" dxfId="58" priority="22" operator="containsText" text="Fail">
      <formula>NOT(ISERROR(SEARCH("Fail",G18)))</formula>
    </cfRule>
    <cfRule type="containsText" dxfId="57" priority="23" operator="containsText" text="Pass">
      <formula>NOT(ISERROR(SEARCH("Pass",G18)))</formula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ErrorMessage="1" sqref="G11:G16 G18:G26" xr:uid="{427EE1C4-5F54-4BFE-936C-B16BA3018D5A}">
      <formula1>"Pass,Fail"</formula1>
    </dataValidation>
    <dataValidation type="list" operator="equal" allowBlank="1" showErrorMessage="1" promptTitle="dfdf" sqref="J11:J16 J18:J26" xr:uid="{CFF940E4-EA49-4835-BD26-2432DDD3D099}">
      <formula1>"Passed,Untested,Failed,Blocked"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FFA0D-8C53-435C-AD0C-9E1F82837106}">
  <dimension ref="A1:M32"/>
  <sheetViews>
    <sheetView topLeftCell="A24" zoomScale="47" zoomScaleNormal="85" workbookViewId="0">
      <selection activeCell="F15" sqref="F15"/>
    </sheetView>
  </sheetViews>
  <sheetFormatPr defaultColWidth="9.109375" defaultRowHeight="16.899999999999999"/>
  <cols>
    <col min="1" max="1" width="21.33203125" style="4" bestFit="1" customWidth="1"/>
    <col min="2" max="2" width="40.6640625" style="4" bestFit="1" customWidth="1"/>
    <col min="3" max="3" width="51.44140625" style="4" customWidth="1"/>
    <col min="4" max="4" width="34.109375" style="4" customWidth="1"/>
    <col min="5" max="5" width="35.109375" style="4" customWidth="1"/>
    <col min="6" max="6" width="51" style="4" customWidth="1"/>
    <col min="7" max="7" width="16" style="4" bestFit="1" customWidth="1"/>
    <col min="8" max="8" width="21.5546875" style="4" bestFit="1" customWidth="1"/>
    <col min="9" max="9" width="22.6640625" style="4" bestFit="1" customWidth="1"/>
    <col min="10" max="10" width="16" style="4" bestFit="1" customWidth="1"/>
    <col min="11" max="11" width="21.5546875" style="4" bestFit="1" customWidth="1"/>
    <col min="12" max="12" width="22.6640625" style="4" bestFit="1" customWidth="1"/>
    <col min="13" max="13" width="16" style="4" bestFit="1" customWidth="1"/>
    <col min="14" max="16384" width="9.109375" style="4"/>
  </cols>
  <sheetData>
    <row r="1" spans="1:13" s="27" customFormat="1">
      <c r="A1" s="44" t="s">
        <v>6</v>
      </c>
      <c r="B1" s="88" t="s">
        <v>30</v>
      </c>
      <c r="C1" s="89"/>
      <c r="D1" s="89"/>
      <c r="E1" s="89"/>
      <c r="F1" s="90"/>
      <c r="G1" s="17"/>
      <c r="H1" s="36"/>
      <c r="J1" s="17"/>
    </row>
    <row r="2" spans="1:13" s="27" customFormat="1">
      <c r="A2" s="44" t="s">
        <v>7</v>
      </c>
      <c r="B2" s="43" t="s">
        <v>122</v>
      </c>
      <c r="C2" s="43"/>
      <c r="D2" s="43"/>
      <c r="E2" s="43"/>
      <c r="F2" s="43"/>
      <c r="G2" s="17"/>
      <c r="H2" s="36"/>
      <c r="J2" s="17"/>
    </row>
    <row r="3" spans="1:13" s="27" customFormat="1">
      <c r="A3" s="41"/>
      <c r="B3" s="33" t="s">
        <v>8</v>
      </c>
      <c r="C3" s="33" t="s">
        <v>9</v>
      </c>
      <c r="D3" s="33" t="s">
        <v>10</v>
      </c>
      <c r="E3" s="33" t="s">
        <v>82</v>
      </c>
      <c r="F3" s="33" t="s">
        <v>81</v>
      </c>
      <c r="G3" s="17"/>
      <c r="H3" s="36"/>
      <c r="J3" s="17"/>
    </row>
    <row r="4" spans="1:13" s="27" customFormat="1">
      <c r="A4" s="42" t="s">
        <v>11</v>
      </c>
      <c r="B4" s="39">
        <v>21</v>
      </c>
      <c r="C4" s="39">
        <v>0</v>
      </c>
      <c r="D4" s="45">
        <f>COUNTIF(G11:G24,"Untested")</f>
        <v>0</v>
      </c>
      <c r="E4" s="45">
        <f>COUNTIF(G11:G24,"Blocked")</f>
        <v>0</v>
      </c>
      <c r="F4" s="39">
        <v>21</v>
      </c>
      <c r="G4" s="17"/>
      <c r="H4" s="36"/>
      <c r="J4" s="17"/>
    </row>
    <row r="5" spans="1:13" s="27" customFormat="1">
      <c r="A5" s="42" t="s">
        <v>12</v>
      </c>
      <c r="B5" s="39">
        <v>0</v>
      </c>
      <c r="C5" s="39">
        <v>0</v>
      </c>
      <c r="D5" s="45">
        <f>COUNTIF(J11:J24,"Untested")</f>
        <v>0</v>
      </c>
      <c r="E5" s="45">
        <f>COUNTIF(J11:J24,"Blocked")</f>
        <v>0</v>
      </c>
      <c r="F5" s="45">
        <v>0</v>
      </c>
      <c r="G5" s="17"/>
      <c r="H5" s="36"/>
      <c r="J5" s="17"/>
    </row>
    <row r="6" spans="1:13" s="27" customFormat="1" ht="409.6" customHeight="1">
      <c r="A6" s="38"/>
      <c r="B6" s="37"/>
      <c r="E6" s="18"/>
      <c r="G6" s="17"/>
      <c r="H6" s="36"/>
      <c r="J6" s="17"/>
    </row>
    <row r="7" spans="1:13" s="27" customFormat="1">
      <c r="A7" s="59" t="s">
        <v>13</v>
      </c>
      <c r="B7" s="59" t="s">
        <v>5</v>
      </c>
      <c r="C7" s="59" t="s">
        <v>80</v>
      </c>
      <c r="D7" s="59" t="s">
        <v>14</v>
      </c>
      <c r="E7" s="59" t="s">
        <v>15</v>
      </c>
      <c r="F7" s="59" t="s">
        <v>16</v>
      </c>
      <c r="G7" s="59" t="s">
        <v>17</v>
      </c>
      <c r="H7" s="59"/>
      <c r="I7" s="59"/>
      <c r="J7" s="59" t="s">
        <v>17</v>
      </c>
      <c r="K7" s="59"/>
      <c r="L7" s="59"/>
      <c r="M7" s="59" t="s">
        <v>18</v>
      </c>
    </row>
    <row r="8" spans="1:13" s="27" customFormat="1">
      <c r="A8" s="59"/>
      <c r="B8" s="59"/>
      <c r="C8" s="59"/>
      <c r="D8" s="59"/>
      <c r="E8" s="59"/>
      <c r="F8" s="59"/>
      <c r="G8" s="59" t="s">
        <v>19</v>
      </c>
      <c r="H8" s="59"/>
      <c r="I8" s="59"/>
      <c r="J8" s="59" t="s">
        <v>20</v>
      </c>
      <c r="K8" s="59"/>
      <c r="L8" s="59"/>
      <c r="M8" s="59"/>
    </row>
    <row r="9" spans="1:13" s="27" customFormat="1">
      <c r="A9" s="59"/>
      <c r="B9" s="59"/>
      <c r="C9" s="59"/>
      <c r="D9" s="59"/>
      <c r="E9" s="59"/>
      <c r="F9" s="59"/>
      <c r="G9" s="59" t="s">
        <v>21</v>
      </c>
      <c r="H9" s="60" t="s">
        <v>22</v>
      </c>
      <c r="I9" s="59" t="s">
        <v>23</v>
      </c>
      <c r="J9" s="59" t="s">
        <v>21</v>
      </c>
      <c r="K9" s="60" t="s">
        <v>22</v>
      </c>
      <c r="L9" s="59" t="s">
        <v>23</v>
      </c>
      <c r="M9" s="59"/>
    </row>
    <row r="10" spans="1:13" s="27" customFormat="1" ht="33.85">
      <c r="A10" s="61" t="s">
        <v>134</v>
      </c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</row>
    <row r="11" spans="1:13" s="27" customFormat="1" ht="33.85">
      <c r="A11" s="62" t="s">
        <v>184</v>
      </c>
      <c r="B11" s="1" t="s">
        <v>175</v>
      </c>
      <c r="C11" s="23"/>
      <c r="D11" s="23"/>
      <c r="E11" s="63" t="s">
        <v>119</v>
      </c>
      <c r="F11" s="63" t="s">
        <v>119</v>
      </c>
      <c r="G11" s="49" t="s">
        <v>117</v>
      </c>
      <c r="H11" s="6">
        <v>46085</v>
      </c>
      <c r="I11" s="50" t="s">
        <v>32</v>
      </c>
      <c r="J11" s="23"/>
      <c r="K11" s="65"/>
      <c r="L11" s="64"/>
      <c r="M11" s="23"/>
    </row>
    <row r="12" spans="1:13" s="27" customFormat="1" ht="67.650000000000006">
      <c r="A12" s="62" t="s">
        <v>185</v>
      </c>
      <c r="B12" s="1" t="s">
        <v>176</v>
      </c>
      <c r="C12" s="23"/>
      <c r="D12" s="23"/>
      <c r="E12" s="63" t="s">
        <v>118</v>
      </c>
      <c r="F12" s="63" t="s">
        <v>118</v>
      </c>
      <c r="G12" s="49" t="s">
        <v>117</v>
      </c>
      <c r="H12" s="6">
        <v>46085</v>
      </c>
      <c r="I12" s="50" t="s">
        <v>32</v>
      </c>
      <c r="J12" s="23"/>
      <c r="K12" s="65"/>
      <c r="L12" s="64"/>
      <c r="M12" s="23"/>
    </row>
    <row r="13" spans="1:13" s="27" customFormat="1" ht="67.650000000000006">
      <c r="A13" s="62" t="s">
        <v>186</v>
      </c>
      <c r="B13" s="1" t="s">
        <v>177</v>
      </c>
      <c r="C13" s="23"/>
      <c r="D13" s="23"/>
      <c r="E13" s="63" t="s">
        <v>118</v>
      </c>
      <c r="F13" s="63" t="s">
        <v>118</v>
      </c>
      <c r="G13" s="49" t="s">
        <v>117</v>
      </c>
      <c r="H13" s="6">
        <v>46085</v>
      </c>
      <c r="I13" s="50" t="s">
        <v>32</v>
      </c>
      <c r="J13" s="23"/>
      <c r="K13" s="65"/>
      <c r="L13" s="64"/>
      <c r="M13" s="23"/>
    </row>
    <row r="14" spans="1:13" s="27" customFormat="1" ht="50.75">
      <c r="A14" s="62" t="s">
        <v>187</v>
      </c>
      <c r="B14" s="1" t="s">
        <v>178</v>
      </c>
      <c r="C14" s="23"/>
      <c r="D14" s="23"/>
      <c r="E14" s="63" t="s">
        <v>131</v>
      </c>
      <c r="F14" s="63" t="s">
        <v>131</v>
      </c>
      <c r="G14" s="49" t="s">
        <v>117</v>
      </c>
      <c r="H14" s="6">
        <v>46085</v>
      </c>
      <c r="I14" s="50" t="s">
        <v>32</v>
      </c>
      <c r="J14" s="23"/>
      <c r="K14" s="65"/>
      <c r="L14" s="64"/>
      <c r="M14" s="23"/>
    </row>
    <row r="15" spans="1:13" s="27" customFormat="1" ht="50.75">
      <c r="A15" s="62" t="s">
        <v>188</v>
      </c>
      <c r="B15" s="1" t="s">
        <v>200</v>
      </c>
      <c r="C15" s="23"/>
      <c r="D15" s="23"/>
      <c r="E15" s="63" t="s">
        <v>203</v>
      </c>
      <c r="F15" s="63" t="s">
        <v>203</v>
      </c>
      <c r="G15" s="49" t="s">
        <v>117</v>
      </c>
      <c r="H15" s="6">
        <v>46085</v>
      </c>
      <c r="I15" s="50" t="s">
        <v>32</v>
      </c>
      <c r="J15" s="23"/>
      <c r="K15" s="65"/>
      <c r="L15" s="64"/>
      <c r="M15" s="23"/>
    </row>
    <row r="16" spans="1:13" ht="50.75">
      <c r="A16" s="62" t="s">
        <v>189</v>
      </c>
      <c r="B16" s="1" t="s">
        <v>195</v>
      </c>
      <c r="C16" s="1"/>
      <c r="D16" s="1"/>
      <c r="E16" s="63" t="s">
        <v>197</v>
      </c>
      <c r="F16" s="63" t="s">
        <v>197</v>
      </c>
      <c r="G16" s="49" t="s">
        <v>117</v>
      </c>
      <c r="H16" s="6">
        <v>46085</v>
      </c>
      <c r="I16" s="50" t="s">
        <v>32</v>
      </c>
      <c r="J16" s="1"/>
      <c r="K16" s="1"/>
      <c r="L16" s="1"/>
      <c r="M16" s="1"/>
    </row>
    <row r="17" spans="1:13" ht="33.85">
      <c r="A17" s="62" t="s">
        <v>190</v>
      </c>
      <c r="B17" s="1" t="s">
        <v>179</v>
      </c>
      <c r="C17" s="1"/>
      <c r="D17" s="1"/>
      <c r="E17" s="63" t="s">
        <v>196</v>
      </c>
      <c r="F17" s="63" t="s">
        <v>196</v>
      </c>
      <c r="G17" s="49" t="s">
        <v>117</v>
      </c>
      <c r="H17" s="6">
        <v>46085</v>
      </c>
      <c r="I17" s="50" t="s">
        <v>32</v>
      </c>
      <c r="J17" s="1"/>
      <c r="K17" s="1"/>
      <c r="L17" s="1"/>
      <c r="M17" s="1"/>
    </row>
    <row r="18" spans="1:13" ht="33.85">
      <c r="A18" s="62" t="s">
        <v>191</v>
      </c>
      <c r="B18" s="1" t="s">
        <v>180</v>
      </c>
      <c r="C18" s="1"/>
      <c r="D18" s="1"/>
      <c r="E18" s="63" t="s">
        <v>196</v>
      </c>
      <c r="F18" s="63" t="s">
        <v>196</v>
      </c>
      <c r="G18" s="49" t="s">
        <v>117</v>
      </c>
      <c r="H18" s="6">
        <v>46085</v>
      </c>
      <c r="I18" s="50" t="s">
        <v>32</v>
      </c>
      <c r="J18" s="1"/>
      <c r="K18" s="1"/>
      <c r="L18" s="1"/>
      <c r="M18" s="1"/>
    </row>
    <row r="19" spans="1:13" ht="33.85">
      <c r="A19" s="62" t="s">
        <v>192</v>
      </c>
      <c r="B19" s="1" t="s">
        <v>181</v>
      </c>
      <c r="C19" s="1"/>
      <c r="D19" s="1"/>
      <c r="E19" s="63" t="s">
        <v>196</v>
      </c>
      <c r="F19" s="63" t="s">
        <v>196</v>
      </c>
      <c r="G19" s="49" t="s">
        <v>117</v>
      </c>
      <c r="H19" s="6">
        <v>46085</v>
      </c>
      <c r="I19" s="50" t="s">
        <v>32</v>
      </c>
      <c r="J19" s="1"/>
      <c r="K19" s="1"/>
      <c r="L19" s="1"/>
      <c r="M19" s="1"/>
    </row>
    <row r="20" spans="1:13" ht="50.75">
      <c r="A20" s="62" t="s">
        <v>193</v>
      </c>
      <c r="B20" s="1" t="s">
        <v>182</v>
      </c>
      <c r="C20" s="1"/>
      <c r="D20" s="1"/>
      <c r="E20" s="63" t="s">
        <v>201</v>
      </c>
      <c r="F20" s="63" t="s">
        <v>201</v>
      </c>
      <c r="G20" s="49" t="s">
        <v>117</v>
      </c>
      <c r="H20" s="6">
        <v>46085</v>
      </c>
      <c r="I20" s="50" t="s">
        <v>32</v>
      </c>
      <c r="J20" s="1"/>
      <c r="K20" s="1"/>
      <c r="L20" s="1"/>
      <c r="M20" s="1"/>
    </row>
    <row r="21" spans="1:13" ht="50.75">
      <c r="A21" s="62" t="s">
        <v>194</v>
      </c>
      <c r="B21" s="1" t="s">
        <v>183</v>
      </c>
      <c r="C21" s="1"/>
      <c r="D21" s="1"/>
      <c r="E21" s="63" t="s">
        <v>202</v>
      </c>
      <c r="F21" s="63" t="s">
        <v>202</v>
      </c>
      <c r="G21" s="49" t="s">
        <v>117</v>
      </c>
      <c r="H21" s="6">
        <v>46085</v>
      </c>
      <c r="I21" s="50" t="s">
        <v>32</v>
      </c>
      <c r="J21" s="1"/>
      <c r="K21" s="1"/>
      <c r="L21" s="1"/>
      <c r="M21" s="1"/>
    </row>
    <row r="22" spans="1:13" ht="50.75">
      <c r="A22" s="62" t="s">
        <v>198</v>
      </c>
      <c r="B22" s="1" t="s">
        <v>199</v>
      </c>
      <c r="C22" s="1"/>
      <c r="D22" s="1"/>
      <c r="E22" s="63" t="s">
        <v>131</v>
      </c>
      <c r="F22" s="63" t="s">
        <v>131</v>
      </c>
      <c r="G22" s="49" t="s">
        <v>117</v>
      </c>
      <c r="H22" s="6">
        <v>46085</v>
      </c>
      <c r="I22" s="50" t="s">
        <v>32</v>
      </c>
      <c r="J22" s="1"/>
      <c r="K22" s="1"/>
      <c r="L22" s="1"/>
      <c r="M22" s="1"/>
    </row>
    <row r="23" spans="1:13" s="27" customFormat="1" ht="50.75">
      <c r="A23" s="61" t="s">
        <v>135</v>
      </c>
      <c r="B23" s="61"/>
      <c r="C23" s="61"/>
      <c r="D23" s="61"/>
      <c r="E23" s="61"/>
      <c r="F23" s="61"/>
      <c r="G23" s="93"/>
      <c r="H23" s="93"/>
      <c r="I23" s="93"/>
      <c r="J23" s="61"/>
      <c r="K23" s="61"/>
      <c r="L23" s="61"/>
      <c r="M23" s="61"/>
    </row>
    <row r="24" spans="1:13" s="27" customFormat="1" ht="101.45">
      <c r="A24" s="1" t="s">
        <v>236</v>
      </c>
      <c r="B24" s="1" t="s">
        <v>233</v>
      </c>
      <c r="C24" s="1" t="s">
        <v>235</v>
      </c>
      <c r="D24" s="1" t="s">
        <v>234</v>
      </c>
      <c r="E24" s="1" t="s">
        <v>237</v>
      </c>
      <c r="F24" s="1" t="s">
        <v>237</v>
      </c>
      <c r="G24" s="49" t="s">
        <v>117</v>
      </c>
      <c r="H24" s="6">
        <v>46085</v>
      </c>
      <c r="I24" s="50" t="s">
        <v>32</v>
      </c>
      <c r="J24" s="23"/>
      <c r="K24" s="3"/>
      <c r="L24" s="64"/>
      <c r="M24" s="23"/>
    </row>
    <row r="25" spans="1:13" s="27" customFormat="1" ht="84.55">
      <c r="A25" s="1" t="s">
        <v>240</v>
      </c>
      <c r="B25" s="1" t="s">
        <v>210</v>
      </c>
      <c r="C25" s="1" t="s">
        <v>232</v>
      </c>
      <c r="D25" s="1" t="s">
        <v>211</v>
      </c>
      <c r="E25" s="1" t="s">
        <v>238</v>
      </c>
      <c r="F25" s="1" t="s">
        <v>238</v>
      </c>
      <c r="G25" s="49" t="s">
        <v>117</v>
      </c>
      <c r="H25" s="6">
        <v>46085</v>
      </c>
      <c r="I25" s="50" t="s">
        <v>32</v>
      </c>
      <c r="J25" s="23"/>
      <c r="K25" s="3"/>
      <c r="L25" s="64"/>
      <c r="M25" s="23"/>
    </row>
    <row r="26" spans="1:13" s="27" customFormat="1" ht="50.75">
      <c r="A26" s="1" t="s">
        <v>241</v>
      </c>
      <c r="B26" s="1" t="s">
        <v>204</v>
      </c>
      <c r="C26" s="1" t="s">
        <v>212</v>
      </c>
      <c r="D26" s="1" t="s">
        <v>213</v>
      </c>
      <c r="E26" s="1" t="s">
        <v>214</v>
      </c>
      <c r="F26" s="1" t="s">
        <v>214</v>
      </c>
      <c r="G26" s="49" t="s">
        <v>117</v>
      </c>
      <c r="H26" s="6">
        <v>46085</v>
      </c>
      <c r="I26" s="50" t="s">
        <v>32</v>
      </c>
      <c r="J26" s="23"/>
      <c r="K26" s="3"/>
      <c r="L26" s="64"/>
      <c r="M26" s="23"/>
    </row>
    <row r="27" spans="1:13" s="27" customFormat="1" ht="50.75">
      <c r="A27" s="1" t="s">
        <v>242</v>
      </c>
      <c r="B27" s="1" t="s">
        <v>205</v>
      </c>
      <c r="C27" s="1" t="s">
        <v>215</v>
      </c>
      <c r="D27" s="1" t="s">
        <v>216</v>
      </c>
      <c r="E27" s="1" t="s">
        <v>217</v>
      </c>
      <c r="F27" s="1" t="s">
        <v>217</v>
      </c>
      <c r="G27" s="49" t="s">
        <v>117</v>
      </c>
      <c r="H27" s="6">
        <v>46085</v>
      </c>
      <c r="I27" s="50" t="s">
        <v>32</v>
      </c>
      <c r="J27" s="23"/>
      <c r="K27" s="3"/>
      <c r="L27" s="64"/>
      <c r="M27" s="23"/>
    </row>
    <row r="28" spans="1:13" s="27" customFormat="1" ht="33.85">
      <c r="A28" s="1" t="s">
        <v>243</v>
      </c>
      <c r="B28" s="1" t="s">
        <v>206</v>
      </c>
      <c r="C28" s="1" t="s">
        <v>218</v>
      </c>
      <c r="D28" s="1" t="s">
        <v>216</v>
      </c>
      <c r="E28" s="1" t="s">
        <v>219</v>
      </c>
      <c r="F28" s="1" t="s">
        <v>219</v>
      </c>
      <c r="G28" s="49" t="s">
        <v>117</v>
      </c>
      <c r="H28" s="6">
        <v>46085</v>
      </c>
      <c r="I28" s="50" t="s">
        <v>32</v>
      </c>
      <c r="J28" s="23"/>
      <c r="K28" s="3"/>
      <c r="L28" s="64"/>
      <c r="M28" s="23"/>
    </row>
    <row r="29" spans="1:13" s="27" customFormat="1" ht="33.85">
      <c r="A29" s="1" t="s">
        <v>244</v>
      </c>
      <c r="B29" s="1" t="s">
        <v>207</v>
      </c>
      <c r="C29" s="1" t="s">
        <v>220</v>
      </c>
      <c r="D29" s="1" t="s">
        <v>221</v>
      </c>
      <c r="E29" s="1" t="s">
        <v>222</v>
      </c>
      <c r="F29" s="1" t="s">
        <v>222</v>
      </c>
      <c r="G29" s="49" t="s">
        <v>117</v>
      </c>
      <c r="H29" s="6">
        <v>46085</v>
      </c>
      <c r="I29" s="50" t="s">
        <v>32</v>
      </c>
      <c r="J29" s="23"/>
      <c r="K29" s="3"/>
      <c r="L29" s="64"/>
      <c r="M29" s="23"/>
    </row>
    <row r="30" spans="1:13" ht="50.75" customHeight="1">
      <c r="A30" s="1" t="s">
        <v>245</v>
      </c>
      <c r="B30" s="1" t="s">
        <v>208</v>
      </c>
      <c r="C30" s="1" t="s">
        <v>223</v>
      </c>
      <c r="D30" s="1" t="s">
        <v>224</v>
      </c>
      <c r="E30" s="1" t="s">
        <v>225</v>
      </c>
      <c r="F30" s="1" t="s">
        <v>225</v>
      </c>
      <c r="G30" s="49" t="s">
        <v>117</v>
      </c>
      <c r="H30" s="6">
        <v>46085</v>
      </c>
      <c r="I30" s="50" t="s">
        <v>32</v>
      </c>
      <c r="J30" s="23"/>
      <c r="K30" s="3"/>
      <c r="L30" s="64"/>
      <c r="M30" s="23"/>
    </row>
    <row r="31" spans="1:13" ht="67.650000000000006">
      <c r="A31" s="1" t="s">
        <v>246</v>
      </c>
      <c r="B31" s="1" t="s">
        <v>226</v>
      </c>
      <c r="C31" s="1" t="s">
        <v>227</v>
      </c>
      <c r="D31" s="1" t="s">
        <v>228</v>
      </c>
      <c r="E31" s="66" t="s">
        <v>239</v>
      </c>
      <c r="F31" s="66" t="s">
        <v>239</v>
      </c>
      <c r="G31" s="49" t="s">
        <v>117</v>
      </c>
      <c r="H31" s="6">
        <v>46085</v>
      </c>
      <c r="I31" s="50" t="s">
        <v>32</v>
      </c>
      <c r="J31" s="23"/>
      <c r="K31" s="3"/>
      <c r="L31" s="64"/>
      <c r="M31" s="23"/>
    </row>
    <row r="32" spans="1:13" ht="33.85">
      <c r="A32" s="1" t="s">
        <v>247</v>
      </c>
      <c r="B32" s="1" t="s">
        <v>209</v>
      </c>
      <c r="C32" s="1" t="s">
        <v>229</v>
      </c>
      <c r="D32" s="1" t="s">
        <v>230</v>
      </c>
      <c r="E32" s="1" t="s">
        <v>231</v>
      </c>
      <c r="F32" s="1" t="s">
        <v>231</v>
      </c>
      <c r="G32" s="49" t="s">
        <v>117</v>
      </c>
      <c r="H32" s="6">
        <v>46085</v>
      </c>
      <c r="I32" s="50" t="s">
        <v>32</v>
      </c>
      <c r="J32" s="1"/>
      <c r="K32" s="1"/>
      <c r="L32" s="1"/>
      <c r="M32" s="1"/>
    </row>
  </sheetData>
  <mergeCells count="1">
    <mergeCell ref="B1:F1"/>
  </mergeCells>
  <phoneticPr fontId="8" type="noConversion"/>
  <conditionalFormatting sqref="G11:G22">
    <cfRule type="containsText" dxfId="56" priority="29" operator="containsText" text="Pass">
      <formula>NOT(ISERROR(SEARCH("Pass",G11)))</formula>
    </cfRule>
    <cfRule type="containsText" dxfId="55" priority="30" operator="containsText" text="Fail">
      <formula>NOT(ISERROR(SEARCH("Fail",G11)))</formula>
    </cfRule>
    <cfRule type="containsText" dxfId="54" priority="31" operator="containsText" text="Pass">
      <formula>NOT(ISERROR(SEARCH("Pass",G11)))</formula>
    </cfRule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4:G32">
    <cfRule type="containsText" dxfId="53" priority="33" operator="containsText" text="Pass">
      <formula>NOT(ISERROR(SEARCH("Pass",G24)))</formula>
    </cfRule>
    <cfRule type="containsText" dxfId="52" priority="34" operator="containsText" text="Fail">
      <formula>NOT(ISERROR(SEARCH("Fail",G24)))</formula>
    </cfRule>
    <cfRule type="containsText" dxfId="51" priority="35" operator="containsText" text="Pass">
      <formula>NOT(ISERROR(SEARCH("Pass",G24)))</formula>
    </cfRule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operator="equal" allowBlank="1" showErrorMessage="1" promptTitle="dfdf" sqref="J11:J15 J24:J31" xr:uid="{B6FEAD32-557B-470D-9BD6-B98305BA0618}">
      <formula1>"Passed,Untested,Failed,Blocked"</formula1>
      <formula2>0</formula2>
    </dataValidation>
    <dataValidation type="list" allowBlank="1" showErrorMessage="1" sqref="G11:G22 G24:G32" xr:uid="{0CD38FBF-FEB4-4ABD-A451-13457F507188}">
      <formula1>"Pass,Fail"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1A0F0-02F3-43C2-BAB5-B921F838C16B}">
  <dimension ref="A1:M35"/>
  <sheetViews>
    <sheetView zoomScale="40" zoomScaleNormal="40" workbookViewId="0">
      <selection activeCell="C30" sqref="C30"/>
    </sheetView>
  </sheetViews>
  <sheetFormatPr defaultColWidth="9.109375" defaultRowHeight="16.899999999999999"/>
  <cols>
    <col min="1" max="1" width="21.33203125" style="4" bestFit="1" customWidth="1"/>
    <col min="2" max="2" width="40.6640625" style="4" bestFit="1" customWidth="1"/>
    <col min="3" max="3" width="51.44140625" style="4" customWidth="1"/>
    <col min="4" max="4" width="34.109375" style="4" customWidth="1"/>
    <col min="5" max="5" width="38.109375" style="4" customWidth="1"/>
    <col min="6" max="6" width="51" style="4" customWidth="1"/>
    <col min="7" max="7" width="16" style="4" bestFit="1" customWidth="1"/>
    <col min="8" max="8" width="21.5546875" style="4" bestFit="1" customWidth="1"/>
    <col min="9" max="9" width="22.6640625" style="4" bestFit="1" customWidth="1"/>
    <col min="10" max="10" width="16" style="4" bestFit="1" customWidth="1"/>
    <col min="11" max="11" width="21.5546875" style="4" bestFit="1" customWidth="1"/>
    <col min="12" max="12" width="22.6640625" style="4" bestFit="1" customWidth="1"/>
    <col min="13" max="13" width="16" style="4" bestFit="1" customWidth="1"/>
    <col min="14" max="16384" width="9.109375" style="4"/>
  </cols>
  <sheetData>
    <row r="1" spans="1:13" s="27" customFormat="1">
      <c r="A1" s="44" t="s">
        <v>6</v>
      </c>
      <c r="B1" s="88" t="s">
        <v>30</v>
      </c>
      <c r="C1" s="89"/>
      <c r="D1" s="89"/>
      <c r="E1" s="89"/>
      <c r="F1" s="90"/>
      <c r="G1" s="17"/>
      <c r="H1" s="36"/>
      <c r="J1" s="17"/>
    </row>
    <row r="2" spans="1:13" s="27" customFormat="1">
      <c r="A2" s="44" t="s">
        <v>7</v>
      </c>
      <c r="B2" s="43" t="s">
        <v>350</v>
      </c>
      <c r="C2" s="43"/>
      <c r="D2" s="43"/>
      <c r="E2" s="43"/>
      <c r="F2" s="43"/>
      <c r="G2" s="17"/>
      <c r="H2" s="36"/>
      <c r="J2" s="17"/>
    </row>
    <row r="3" spans="1:13" s="27" customFormat="1">
      <c r="A3" s="41"/>
      <c r="B3" s="33" t="s">
        <v>8</v>
      </c>
      <c r="C3" s="33" t="s">
        <v>9</v>
      </c>
      <c r="D3" s="33" t="s">
        <v>10</v>
      </c>
      <c r="E3" s="33" t="s">
        <v>82</v>
      </c>
      <c r="F3" s="33" t="s">
        <v>81</v>
      </c>
      <c r="G3" s="17"/>
      <c r="H3" s="36"/>
      <c r="J3" s="17"/>
    </row>
    <row r="4" spans="1:13" s="27" customFormat="1">
      <c r="A4" s="42" t="s">
        <v>11</v>
      </c>
      <c r="B4" s="39">
        <v>24</v>
      </c>
      <c r="C4" s="39">
        <v>0</v>
      </c>
      <c r="D4" s="45">
        <f>COUNTIF(G11:G28,"Untested")</f>
        <v>0</v>
      </c>
      <c r="E4" s="45">
        <f>COUNTIF(G11:G28,"Blocked")</f>
        <v>0</v>
      </c>
      <c r="F4" s="39">
        <v>24</v>
      </c>
      <c r="G4" s="17"/>
      <c r="H4" s="36"/>
      <c r="J4" s="17"/>
    </row>
    <row r="5" spans="1:13" s="27" customFormat="1">
      <c r="A5" s="42" t="s">
        <v>12</v>
      </c>
      <c r="B5" s="39">
        <v>0</v>
      </c>
      <c r="C5" s="39">
        <v>0</v>
      </c>
      <c r="D5" s="45">
        <f>COUNTIF(J11:J28,"Untested")</f>
        <v>0</v>
      </c>
      <c r="E5" s="45">
        <f>COUNTIF(J11:J28,"Blocked")</f>
        <v>0</v>
      </c>
      <c r="F5" s="45">
        <v>0</v>
      </c>
      <c r="G5" s="17"/>
      <c r="H5" s="36"/>
      <c r="J5" s="17"/>
    </row>
    <row r="6" spans="1:13" s="27" customFormat="1" ht="409.6" customHeight="1">
      <c r="A6" s="38"/>
      <c r="B6" s="37"/>
      <c r="E6" s="18"/>
      <c r="G6" s="17"/>
      <c r="H6" s="36"/>
      <c r="J6" s="17"/>
    </row>
    <row r="7" spans="1:13" s="27" customFormat="1">
      <c r="A7" s="33" t="s">
        <v>13</v>
      </c>
      <c r="B7" s="33" t="s">
        <v>5</v>
      </c>
      <c r="C7" s="33" t="s">
        <v>80</v>
      </c>
      <c r="D7" s="33" t="s">
        <v>14</v>
      </c>
      <c r="E7" s="33" t="s">
        <v>15</v>
      </c>
      <c r="F7" s="33" t="s">
        <v>16</v>
      </c>
      <c r="G7" s="33" t="s">
        <v>17</v>
      </c>
      <c r="H7" s="33"/>
      <c r="I7" s="33"/>
      <c r="J7" s="33" t="s">
        <v>17</v>
      </c>
      <c r="K7" s="33"/>
      <c r="L7" s="33"/>
      <c r="M7" s="33" t="s">
        <v>18</v>
      </c>
    </row>
    <row r="8" spans="1:13" s="27" customFormat="1">
      <c r="A8" s="33"/>
      <c r="B8" s="33"/>
      <c r="C8" s="33"/>
      <c r="D8" s="33"/>
      <c r="E8" s="33"/>
      <c r="F8" s="33"/>
      <c r="G8" s="33" t="s">
        <v>19</v>
      </c>
      <c r="H8" s="33"/>
      <c r="I8" s="33"/>
      <c r="J8" s="33" t="s">
        <v>20</v>
      </c>
      <c r="K8" s="33"/>
      <c r="L8" s="33"/>
      <c r="M8" s="33"/>
    </row>
    <row r="9" spans="1:13" s="27" customFormat="1">
      <c r="A9" s="33"/>
      <c r="B9" s="33"/>
      <c r="C9" s="33"/>
      <c r="D9" s="33"/>
      <c r="E9" s="33"/>
      <c r="F9" s="33"/>
      <c r="G9" s="35" t="s">
        <v>21</v>
      </c>
      <c r="H9" s="34" t="s">
        <v>22</v>
      </c>
      <c r="I9" s="33" t="s">
        <v>23</v>
      </c>
      <c r="J9" s="35" t="s">
        <v>21</v>
      </c>
      <c r="K9" s="34" t="s">
        <v>22</v>
      </c>
      <c r="L9" s="33" t="s">
        <v>23</v>
      </c>
      <c r="M9" s="33"/>
    </row>
    <row r="10" spans="1:13" s="27" customFormat="1">
      <c r="A10" s="32" t="s">
        <v>261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</row>
    <row r="11" spans="1:13" s="27" customFormat="1" ht="67.650000000000006">
      <c r="A11" s="47" t="s">
        <v>262</v>
      </c>
      <c r="B11" s="7" t="s">
        <v>25</v>
      </c>
      <c r="C11" s="67"/>
      <c r="D11" s="24"/>
      <c r="E11" s="68" t="s">
        <v>275</v>
      </c>
      <c r="F11" s="68" t="s">
        <v>275</v>
      </c>
      <c r="G11" s="49" t="s">
        <v>117</v>
      </c>
      <c r="H11" s="6">
        <v>46085</v>
      </c>
      <c r="I11" s="50" t="s">
        <v>32</v>
      </c>
      <c r="J11" s="51"/>
      <c r="K11" s="52"/>
      <c r="L11" s="53"/>
      <c r="M11" s="24"/>
    </row>
    <row r="12" spans="1:13" s="27" customFormat="1" ht="84.55">
      <c r="A12" s="47" t="s">
        <v>263</v>
      </c>
      <c r="B12" s="7" t="s">
        <v>253</v>
      </c>
      <c r="C12" s="67"/>
      <c r="D12" s="24"/>
      <c r="E12" s="68" t="s">
        <v>276</v>
      </c>
      <c r="F12" s="68" t="s">
        <v>276</v>
      </c>
      <c r="G12" s="49" t="s">
        <v>117</v>
      </c>
      <c r="H12" s="6">
        <v>46085</v>
      </c>
      <c r="I12" s="50" t="s">
        <v>32</v>
      </c>
      <c r="J12" s="51"/>
      <c r="K12" s="52"/>
      <c r="L12" s="53"/>
      <c r="M12" s="24"/>
    </row>
    <row r="13" spans="1:13" s="27" customFormat="1" ht="50.75">
      <c r="A13" s="47" t="s">
        <v>264</v>
      </c>
      <c r="B13" s="7" t="s">
        <v>254</v>
      </c>
      <c r="C13" s="67"/>
      <c r="D13" s="24"/>
      <c r="E13" s="68" t="s">
        <v>272</v>
      </c>
      <c r="F13" s="68" t="s">
        <v>272</v>
      </c>
      <c r="G13" s="49" t="s">
        <v>117</v>
      </c>
      <c r="H13" s="6">
        <v>46085</v>
      </c>
      <c r="I13" s="50" t="s">
        <v>32</v>
      </c>
      <c r="J13" s="51"/>
      <c r="K13" s="52"/>
      <c r="L13" s="53"/>
      <c r="M13" s="24"/>
    </row>
    <row r="14" spans="1:13" s="27" customFormat="1" ht="50.75">
      <c r="A14" s="47" t="s">
        <v>265</v>
      </c>
      <c r="B14" s="7" t="s">
        <v>255</v>
      </c>
      <c r="C14" s="67"/>
      <c r="D14" s="24"/>
      <c r="E14" s="68" t="s">
        <v>271</v>
      </c>
      <c r="F14" s="68" t="s">
        <v>271</v>
      </c>
      <c r="G14" s="49" t="s">
        <v>117</v>
      </c>
      <c r="H14" s="6">
        <v>46085</v>
      </c>
      <c r="I14" s="50" t="s">
        <v>32</v>
      </c>
      <c r="J14" s="51"/>
      <c r="K14" s="52"/>
      <c r="L14" s="53"/>
      <c r="M14" s="24"/>
    </row>
    <row r="15" spans="1:13" s="27" customFormat="1" ht="50.75">
      <c r="A15" s="47" t="s">
        <v>266</v>
      </c>
      <c r="B15" s="7" t="s">
        <v>256</v>
      </c>
      <c r="C15" s="67"/>
      <c r="D15" s="24"/>
      <c r="E15" s="68" t="s">
        <v>277</v>
      </c>
      <c r="F15" s="68" t="s">
        <v>277</v>
      </c>
      <c r="G15" s="49" t="s">
        <v>117</v>
      </c>
      <c r="H15" s="6">
        <v>46085</v>
      </c>
      <c r="I15" s="50" t="s">
        <v>32</v>
      </c>
      <c r="J15" s="51"/>
      <c r="K15" s="52"/>
      <c r="L15" s="53"/>
      <c r="M15" s="24"/>
    </row>
    <row r="16" spans="1:13" s="27" customFormat="1" ht="52" customHeight="1">
      <c r="A16" s="47" t="s">
        <v>267</v>
      </c>
      <c r="B16" s="7" t="s">
        <v>257</v>
      </c>
      <c r="C16" s="67"/>
      <c r="D16" s="24"/>
      <c r="E16" s="68" t="s">
        <v>273</v>
      </c>
      <c r="F16" s="68" t="s">
        <v>273</v>
      </c>
      <c r="G16" s="49" t="s">
        <v>117</v>
      </c>
      <c r="H16" s="6">
        <v>46085</v>
      </c>
      <c r="I16" s="50" t="s">
        <v>32</v>
      </c>
      <c r="J16" s="51"/>
      <c r="K16" s="52"/>
      <c r="L16" s="53"/>
      <c r="M16" s="24"/>
    </row>
    <row r="17" spans="1:13" s="27" customFormat="1" ht="50.75">
      <c r="A17" s="47" t="s">
        <v>268</v>
      </c>
      <c r="B17" s="7" t="s">
        <v>258</v>
      </c>
      <c r="C17" s="67"/>
      <c r="D17" s="24"/>
      <c r="E17" s="68" t="s">
        <v>273</v>
      </c>
      <c r="F17" s="68" t="s">
        <v>273</v>
      </c>
      <c r="G17" s="49" t="s">
        <v>117</v>
      </c>
      <c r="H17" s="6">
        <v>46085</v>
      </c>
      <c r="I17" s="50" t="s">
        <v>32</v>
      </c>
      <c r="J17" s="51"/>
      <c r="K17" s="52"/>
      <c r="L17" s="53"/>
      <c r="M17" s="24"/>
    </row>
    <row r="18" spans="1:13" s="27" customFormat="1" ht="67.650000000000006">
      <c r="A18" s="47" t="s">
        <v>269</v>
      </c>
      <c r="B18" s="7" t="s">
        <v>259</v>
      </c>
      <c r="C18" s="67"/>
      <c r="D18" s="24"/>
      <c r="E18" s="68" t="s">
        <v>278</v>
      </c>
      <c r="F18" s="68" t="s">
        <v>278</v>
      </c>
      <c r="G18" s="49" t="s">
        <v>117</v>
      </c>
      <c r="H18" s="6">
        <v>46085</v>
      </c>
      <c r="I18" s="50" t="s">
        <v>32</v>
      </c>
      <c r="J18" s="51"/>
      <c r="K18" s="52"/>
      <c r="L18" s="53"/>
      <c r="M18" s="24"/>
    </row>
    <row r="19" spans="1:13" s="27" customFormat="1" ht="50.75">
      <c r="A19" s="47" t="s">
        <v>270</v>
      </c>
      <c r="B19" s="7" t="s">
        <v>260</v>
      </c>
      <c r="C19" s="67"/>
      <c r="D19" s="24"/>
      <c r="E19" s="68" t="s">
        <v>274</v>
      </c>
      <c r="F19" s="68" t="s">
        <v>274</v>
      </c>
      <c r="G19" s="49" t="s">
        <v>117</v>
      </c>
      <c r="H19" s="6">
        <v>46085</v>
      </c>
      <c r="I19" s="50" t="s">
        <v>32</v>
      </c>
      <c r="J19" s="51"/>
      <c r="K19" s="52"/>
      <c r="L19" s="53"/>
      <c r="M19" s="24"/>
    </row>
    <row r="20" spans="1:13" s="27" customFormat="1" ht="67.650000000000006">
      <c r="A20" s="47" t="s">
        <v>351</v>
      </c>
      <c r="B20" s="7" t="s">
        <v>28</v>
      </c>
      <c r="C20" s="24"/>
      <c r="D20" s="24"/>
      <c r="E20" s="48" t="s">
        <v>132</v>
      </c>
      <c r="F20" s="48" t="s">
        <v>132</v>
      </c>
      <c r="G20" s="49" t="s">
        <v>117</v>
      </c>
      <c r="H20" s="6">
        <v>46085</v>
      </c>
      <c r="I20" s="50" t="s">
        <v>32</v>
      </c>
      <c r="J20" s="51"/>
      <c r="K20" s="52"/>
      <c r="L20" s="53"/>
      <c r="M20" s="24"/>
    </row>
    <row r="21" spans="1:13" s="27" customFormat="1" ht="67.650000000000006">
      <c r="A21" s="47" t="s">
        <v>352</v>
      </c>
      <c r="B21" s="7" t="s">
        <v>29</v>
      </c>
      <c r="C21" s="24"/>
      <c r="D21" s="24"/>
      <c r="E21" s="48" t="s">
        <v>133</v>
      </c>
      <c r="F21" s="48" t="s">
        <v>133</v>
      </c>
      <c r="G21" s="49" t="s">
        <v>117</v>
      </c>
      <c r="H21" s="6">
        <v>46085</v>
      </c>
      <c r="I21" s="50" t="s">
        <v>32</v>
      </c>
      <c r="J21" s="51"/>
      <c r="K21" s="52"/>
      <c r="L21" s="53"/>
      <c r="M21" s="24"/>
    </row>
    <row r="22" spans="1:13" s="27" customFormat="1" ht="52" customHeight="1">
      <c r="A22" s="47" t="s">
        <v>353</v>
      </c>
      <c r="B22" s="7" t="s">
        <v>257</v>
      </c>
      <c r="C22" s="67"/>
      <c r="D22" s="24"/>
      <c r="E22" s="68" t="s">
        <v>273</v>
      </c>
      <c r="F22" s="68" t="s">
        <v>273</v>
      </c>
      <c r="G22" s="49" t="s">
        <v>117</v>
      </c>
      <c r="H22" s="6">
        <v>46085</v>
      </c>
      <c r="I22" s="50" t="s">
        <v>32</v>
      </c>
      <c r="J22" s="51"/>
      <c r="K22" s="52"/>
      <c r="L22" s="53"/>
      <c r="M22" s="24"/>
    </row>
    <row r="23" spans="1:13" s="27" customFormat="1" ht="50.75">
      <c r="A23" s="47" t="s">
        <v>354</v>
      </c>
      <c r="B23" s="7" t="s">
        <v>283</v>
      </c>
      <c r="C23" s="67"/>
      <c r="D23" s="24"/>
      <c r="E23" s="68" t="s">
        <v>273</v>
      </c>
      <c r="F23" s="68" t="s">
        <v>273</v>
      </c>
      <c r="G23" s="49" t="s">
        <v>117</v>
      </c>
      <c r="H23" s="6">
        <v>46085</v>
      </c>
      <c r="I23" s="50" t="s">
        <v>32</v>
      </c>
      <c r="J23" s="51"/>
      <c r="K23" s="52"/>
      <c r="L23" s="53"/>
      <c r="M23" s="24"/>
    </row>
    <row r="24" spans="1:13" s="27" customFormat="1" ht="50.75">
      <c r="A24" s="47" t="s">
        <v>355</v>
      </c>
      <c r="B24" s="7" t="s">
        <v>280</v>
      </c>
      <c r="C24" s="24"/>
      <c r="D24" s="24"/>
      <c r="E24" s="48" t="s">
        <v>282</v>
      </c>
      <c r="F24" s="48" t="s">
        <v>282</v>
      </c>
      <c r="G24" s="49" t="s">
        <v>117</v>
      </c>
      <c r="H24" s="6">
        <v>46085</v>
      </c>
      <c r="I24" s="50" t="s">
        <v>32</v>
      </c>
      <c r="J24" s="51"/>
      <c r="K24" s="52"/>
      <c r="L24" s="53"/>
      <c r="M24" s="24"/>
    </row>
    <row r="25" spans="1:13" s="27" customFormat="1" ht="50.75">
      <c r="A25" s="47" t="s">
        <v>356</v>
      </c>
      <c r="B25" s="7" t="s">
        <v>281</v>
      </c>
      <c r="C25" s="24"/>
      <c r="D25" s="24"/>
      <c r="E25" s="48" t="s">
        <v>203</v>
      </c>
      <c r="F25" s="48" t="s">
        <v>203</v>
      </c>
      <c r="G25" s="49" t="s">
        <v>117</v>
      </c>
      <c r="H25" s="6">
        <v>46085</v>
      </c>
      <c r="I25" s="50" t="s">
        <v>32</v>
      </c>
      <c r="J25" s="51"/>
      <c r="K25" s="52"/>
      <c r="L25" s="53"/>
      <c r="M25" s="24"/>
    </row>
    <row r="26" spans="1:13" s="27" customFormat="1">
      <c r="A26" s="28" t="s">
        <v>279</v>
      </c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</row>
    <row r="27" spans="1:13" s="27" customFormat="1" ht="67.650000000000006">
      <c r="A27" s="55" t="s">
        <v>306</v>
      </c>
      <c r="B27" s="1" t="s">
        <v>284</v>
      </c>
      <c r="C27" s="1" t="s">
        <v>298</v>
      </c>
      <c r="D27" s="1" t="s">
        <v>293</v>
      </c>
      <c r="E27" s="66" t="s">
        <v>323</v>
      </c>
      <c r="F27" s="66" t="s">
        <v>323</v>
      </c>
      <c r="G27" s="49" t="s">
        <v>117</v>
      </c>
      <c r="H27" s="6">
        <v>46085</v>
      </c>
      <c r="I27" s="50" t="s">
        <v>32</v>
      </c>
      <c r="J27" s="24"/>
      <c r="K27" s="57"/>
      <c r="L27" s="58"/>
      <c r="M27" s="24"/>
    </row>
    <row r="28" spans="1:13" s="27" customFormat="1" ht="50.75">
      <c r="A28" s="55" t="s">
        <v>307</v>
      </c>
      <c r="B28" s="1" t="s">
        <v>285</v>
      </c>
      <c r="C28" s="1" t="s">
        <v>299</v>
      </c>
      <c r="D28" s="1" t="s">
        <v>294</v>
      </c>
      <c r="E28" s="66" t="s">
        <v>324</v>
      </c>
      <c r="F28" s="66" t="s">
        <v>322</v>
      </c>
      <c r="G28" s="49" t="s">
        <v>117</v>
      </c>
      <c r="H28" s="6">
        <v>46085</v>
      </c>
      <c r="I28" s="50" t="s">
        <v>32</v>
      </c>
      <c r="J28" s="24"/>
      <c r="K28" s="57"/>
      <c r="L28" s="58"/>
      <c r="M28" s="24"/>
    </row>
    <row r="29" spans="1:13" s="27" customFormat="1" ht="33.85">
      <c r="A29" s="55" t="s">
        <v>308</v>
      </c>
      <c r="B29" s="1" t="s">
        <v>286</v>
      </c>
      <c r="C29" s="1" t="s">
        <v>410</v>
      </c>
      <c r="D29" s="1" t="s">
        <v>294</v>
      </c>
      <c r="E29" s="66" t="s">
        <v>326</v>
      </c>
      <c r="F29" s="66" t="s">
        <v>321</v>
      </c>
      <c r="G29" s="49" t="s">
        <v>117</v>
      </c>
      <c r="H29" s="6">
        <v>46085</v>
      </c>
      <c r="I29" s="50" t="s">
        <v>32</v>
      </c>
      <c r="J29" s="24"/>
      <c r="K29" s="57"/>
      <c r="L29" s="58"/>
      <c r="M29" s="24"/>
    </row>
    <row r="30" spans="1:13" s="27" customFormat="1" ht="50.75">
      <c r="A30" s="55" t="s">
        <v>309</v>
      </c>
      <c r="B30" s="1" t="s">
        <v>287</v>
      </c>
      <c r="C30" s="1" t="s">
        <v>300</v>
      </c>
      <c r="D30" s="1" t="s">
        <v>295</v>
      </c>
      <c r="E30" s="66" t="s">
        <v>325</v>
      </c>
      <c r="F30" s="66" t="s">
        <v>320</v>
      </c>
      <c r="G30" s="49" t="s">
        <v>117</v>
      </c>
      <c r="H30" s="6">
        <v>46085</v>
      </c>
      <c r="I30" s="50" t="s">
        <v>32</v>
      </c>
      <c r="J30" s="24"/>
      <c r="K30" s="57"/>
      <c r="L30" s="58"/>
      <c r="M30" s="24"/>
    </row>
    <row r="31" spans="1:13" s="27" customFormat="1" ht="50.75">
      <c r="A31" s="55" t="s">
        <v>310</v>
      </c>
      <c r="B31" s="1" t="s">
        <v>288</v>
      </c>
      <c r="C31" s="1" t="s">
        <v>301</v>
      </c>
      <c r="D31" s="1" t="s">
        <v>296</v>
      </c>
      <c r="E31" s="66" t="s">
        <v>327</v>
      </c>
      <c r="F31" s="66" t="s">
        <v>319</v>
      </c>
      <c r="G31" s="49" t="s">
        <v>117</v>
      </c>
      <c r="H31" s="6">
        <v>46085</v>
      </c>
      <c r="I31" s="50" t="s">
        <v>32</v>
      </c>
      <c r="J31" s="24"/>
      <c r="K31" s="57"/>
      <c r="L31" s="58"/>
      <c r="M31" s="24"/>
    </row>
    <row r="32" spans="1:13" s="27" customFormat="1" ht="33.85">
      <c r="A32" s="55" t="s">
        <v>311</v>
      </c>
      <c r="B32" s="1" t="s">
        <v>289</v>
      </c>
      <c r="C32" s="1" t="s">
        <v>302</v>
      </c>
      <c r="D32" s="1" t="s">
        <v>297</v>
      </c>
      <c r="E32" s="66" t="s">
        <v>318</v>
      </c>
      <c r="F32" s="66" t="s">
        <v>318</v>
      </c>
      <c r="G32" s="49" t="s">
        <v>117</v>
      </c>
      <c r="H32" s="6">
        <v>46085</v>
      </c>
      <c r="I32" s="50" t="s">
        <v>32</v>
      </c>
      <c r="J32" s="24"/>
      <c r="K32" s="57"/>
      <c r="L32" s="58"/>
      <c r="M32" s="24"/>
    </row>
    <row r="33" spans="1:13" s="27" customFormat="1" ht="33.85">
      <c r="A33" s="55" t="s">
        <v>312</v>
      </c>
      <c r="B33" s="1" t="s">
        <v>290</v>
      </c>
      <c r="C33" s="1" t="s">
        <v>303</v>
      </c>
      <c r="D33" s="1" t="s">
        <v>296</v>
      </c>
      <c r="E33" s="66" t="s">
        <v>328</v>
      </c>
      <c r="F33" s="66" t="s">
        <v>317</v>
      </c>
      <c r="G33" s="49" t="s">
        <v>117</v>
      </c>
      <c r="H33" s="6">
        <v>46085</v>
      </c>
      <c r="I33" s="50" t="s">
        <v>32</v>
      </c>
      <c r="J33" s="24"/>
      <c r="K33" s="57"/>
      <c r="L33" s="58"/>
      <c r="M33" s="24"/>
    </row>
    <row r="34" spans="1:13" ht="33.85">
      <c r="A34" s="55" t="s">
        <v>313</v>
      </c>
      <c r="B34" s="1" t="s">
        <v>291</v>
      </c>
      <c r="C34" s="1" t="s">
        <v>304</v>
      </c>
      <c r="D34" s="1" t="s">
        <v>294</v>
      </c>
      <c r="E34" s="1" t="s">
        <v>315</v>
      </c>
      <c r="F34" s="1" t="s">
        <v>315</v>
      </c>
      <c r="G34" s="49" t="s">
        <v>117</v>
      </c>
      <c r="H34" s="6">
        <v>46085</v>
      </c>
      <c r="I34" s="50" t="s">
        <v>32</v>
      </c>
      <c r="J34" s="24"/>
      <c r="K34" s="57"/>
      <c r="L34" s="58"/>
      <c r="M34" s="24"/>
    </row>
    <row r="35" spans="1:13" ht="33.85">
      <c r="A35" s="55" t="s">
        <v>314</v>
      </c>
      <c r="B35" s="1" t="s">
        <v>292</v>
      </c>
      <c r="C35" s="1" t="s">
        <v>305</v>
      </c>
      <c r="D35" s="1" t="s">
        <v>294</v>
      </c>
      <c r="E35" s="1" t="s">
        <v>316</v>
      </c>
      <c r="F35" s="1" t="s">
        <v>316</v>
      </c>
      <c r="G35" s="49" t="s">
        <v>117</v>
      </c>
      <c r="H35" s="6">
        <v>46085</v>
      </c>
      <c r="I35" s="50" t="s">
        <v>32</v>
      </c>
      <c r="J35" s="2"/>
      <c r="K35" s="2"/>
      <c r="L35" s="2"/>
      <c r="M35" s="2"/>
    </row>
  </sheetData>
  <mergeCells count="1">
    <mergeCell ref="B1:F1"/>
  </mergeCells>
  <phoneticPr fontId="8" type="noConversion"/>
  <conditionalFormatting sqref="G11:G1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1:G25">
    <cfRule type="containsText" dxfId="50" priority="1" operator="containsText" text="Pass">
      <formula>NOT(ISERROR(SEARCH("Pass",G11)))</formula>
    </cfRule>
    <cfRule type="containsText" dxfId="49" priority="2" operator="containsText" text="Fail">
      <formula>NOT(ISERROR(SEARCH("Fail",G11)))</formula>
    </cfRule>
    <cfRule type="containsText" dxfId="48" priority="3" operator="containsText" text="Pass">
      <formula>NOT(ISERROR(SEARCH("Pass",G11)))</formula>
    </cfRule>
  </conditionalFormatting>
  <conditionalFormatting sqref="G22:G2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4:G25 G20:G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5">
    <cfRule type="containsText" dxfId="47" priority="53" operator="containsText" text="Pass">
      <formula>NOT(ISERROR(SEARCH("Pass",G27)))</formula>
    </cfRule>
    <cfRule type="containsText" dxfId="46" priority="54" operator="containsText" text="Fail">
      <formula>NOT(ISERROR(SEARCH("Fail",G27)))</formula>
    </cfRule>
    <cfRule type="containsText" dxfId="45" priority="55" operator="containsText" text="Pass">
      <formula>NOT(ISERROR(SEARCH("Pass",G27)))</formula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operator="equal" allowBlank="1" showErrorMessage="1" promptTitle="dfdf" sqref="J11:J25 J27:J34" xr:uid="{F502A24D-1B13-48D9-9431-9FA032B916B0}">
      <formula1>"Passed,Untested,Failed,Blocked"</formula1>
      <formula2>0</formula2>
    </dataValidation>
    <dataValidation type="list" allowBlank="1" showErrorMessage="1" sqref="G11:G25 G27:G35" xr:uid="{F707CC8B-761E-4C8D-B799-4904760921F3}">
      <formula1>"Pass,Fail"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7063F-6A86-4F24-ADC2-68EB6607ACC7}">
  <dimension ref="A1:M34"/>
  <sheetViews>
    <sheetView zoomScale="40" zoomScaleNormal="40" workbookViewId="0">
      <selection activeCell="H22" sqref="H22"/>
    </sheetView>
  </sheetViews>
  <sheetFormatPr defaultColWidth="9.109375" defaultRowHeight="16.899999999999999"/>
  <cols>
    <col min="1" max="1" width="21.33203125" style="4" bestFit="1" customWidth="1"/>
    <col min="2" max="2" width="40.6640625" style="4" bestFit="1" customWidth="1"/>
    <col min="3" max="3" width="51.44140625" style="4" customWidth="1"/>
    <col min="4" max="4" width="34.109375" style="4" customWidth="1"/>
    <col min="5" max="5" width="37" style="4" customWidth="1"/>
    <col min="6" max="6" width="51" style="4" customWidth="1"/>
    <col min="7" max="7" width="16" style="4" bestFit="1" customWidth="1"/>
    <col min="8" max="8" width="21.5546875" style="4" bestFit="1" customWidth="1"/>
    <col min="9" max="9" width="22.6640625" style="4" bestFit="1" customWidth="1"/>
    <col min="10" max="10" width="16" style="4" bestFit="1" customWidth="1"/>
    <col min="11" max="11" width="21.5546875" style="4" bestFit="1" customWidth="1"/>
    <col min="12" max="12" width="22.6640625" style="4" bestFit="1" customWidth="1"/>
    <col min="13" max="13" width="16" style="4" bestFit="1" customWidth="1"/>
    <col min="14" max="16384" width="9.109375" style="4"/>
  </cols>
  <sheetData>
    <row r="1" spans="1:13" s="27" customFormat="1">
      <c r="A1" s="44" t="s">
        <v>6</v>
      </c>
      <c r="B1" s="88" t="s">
        <v>30</v>
      </c>
      <c r="C1" s="89"/>
      <c r="D1" s="89"/>
      <c r="E1" s="89"/>
      <c r="F1" s="90"/>
      <c r="G1" s="17"/>
      <c r="H1" s="36"/>
      <c r="J1" s="17"/>
    </row>
    <row r="2" spans="1:13" s="27" customFormat="1">
      <c r="A2" s="44" t="s">
        <v>7</v>
      </c>
      <c r="B2" s="43" t="s">
        <v>124</v>
      </c>
      <c r="C2" s="43"/>
      <c r="D2" s="43"/>
      <c r="E2" s="43"/>
      <c r="F2" s="43"/>
      <c r="G2" s="17"/>
      <c r="H2" s="36"/>
      <c r="J2" s="17"/>
    </row>
    <row r="3" spans="1:13" s="27" customFormat="1">
      <c r="A3" s="41"/>
      <c r="B3" s="33" t="s">
        <v>8</v>
      </c>
      <c r="C3" s="33" t="s">
        <v>9</v>
      </c>
      <c r="D3" s="33" t="s">
        <v>10</v>
      </c>
      <c r="E3" s="33" t="s">
        <v>82</v>
      </c>
      <c r="F3" s="33" t="s">
        <v>81</v>
      </c>
      <c r="G3" s="17"/>
      <c r="H3" s="36"/>
      <c r="J3" s="17"/>
    </row>
    <row r="4" spans="1:13" s="27" customFormat="1">
      <c r="A4" s="42" t="s">
        <v>11</v>
      </c>
      <c r="B4" s="39">
        <v>23</v>
      </c>
      <c r="C4" s="39">
        <v>2</v>
      </c>
      <c r="D4" s="45">
        <f>COUNTIF(G11:G28,"Untested")</f>
        <v>0</v>
      </c>
      <c r="E4" s="45">
        <f>COUNTIF(G11:G28,"Blocked")</f>
        <v>0</v>
      </c>
      <c r="F4" s="39">
        <v>23</v>
      </c>
      <c r="G4" s="17"/>
      <c r="H4" s="36"/>
      <c r="J4" s="17"/>
    </row>
    <row r="5" spans="1:13" s="27" customFormat="1">
      <c r="A5" s="42" t="s">
        <v>12</v>
      </c>
      <c r="B5" s="39">
        <v>0</v>
      </c>
      <c r="C5" s="39">
        <v>0</v>
      </c>
      <c r="D5" s="45">
        <f>COUNTIF(J11:J28,"Untested")</f>
        <v>0</v>
      </c>
      <c r="E5" s="45">
        <f>COUNTIF(J11:J28,"Blocked")</f>
        <v>0</v>
      </c>
      <c r="F5" s="45">
        <v>0</v>
      </c>
      <c r="G5" s="17"/>
      <c r="H5" s="36"/>
      <c r="J5" s="17"/>
    </row>
    <row r="6" spans="1:13" s="27" customFormat="1" ht="409.6" customHeight="1">
      <c r="A6" s="38"/>
      <c r="B6" s="37"/>
      <c r="E6" s="18"/>
      <c r="G6" s="17"/>
      <c r="H6" s="36"/>
      <c r="J6" s="17"/>
    </row>
    <row r="7" spans="1:13" s="27" customFormat="1">
      <c r="A7" s="59" t="s">
        <v>13</v>
      </c>
      <c r="B7" s="59" t="s">
        <v>5</v>
      </c>
      <c r="C7" s="59" t="s">
        <v>80</v>
      </c>
      <c r="D7" s="59" t="s">
        <v>14</v>
      </c>
      <c r="E7" s="59" t="s">
        <v>15</v>
      </c>
      <c r="F7" s="59" t="s">
        <v>16</v>
      </c>
      <c r="G7" s="59" t="s">
        <v>17</v>
      </c>
      <c r="H7" s="59"/>
      <c r="I7" s="59"/>
      <c r="J7" s="59" t="s">
        <v>17</v>
      </c>
      <c r="K7" s="59"/>
      <c r="L7" s="59"/>
      <c r="M7" s="59" t="s">
        <v>18</v>
      </c>
    </row>
    <row r="8" spans="1:13" s="27" customFormat="1">
      <c r="A8" s="59"/>
      <c r="B8" s="59"/>
      <c r="C8" s="59"/>
      <c r="D8" s="59"/>
      <c r="E8" s="59"/>
      <c r="F8" s="59"/>
      <c r="G8" s="59" t="s">
        <v>19</v>
      </c>
      <c r="H8" s="59"/>
      <c r="I8" s="59"/>
      <c r="J8" s="59" t="s">
        <v>20</v>
      </c>
      <c r="K8" s="59"/>
      <c r="L8" s="59"/>
      <c r="M8" s="59"/>
    </row>
    <row r="9" spans="1:13" s="27" customFormat="1">
      <c r="A9" s="59"/>
      <c r="B9" s="59"/>
      <c r="C9" s="59"/>
      <c r="D9" s="59"/>
      <c r="E9" s="59"/>
      <c r="F9" s="59"/>
      <c r="G9" s="59" t="s">
        <v>21</v>
      </c>
      <c r="H9" s="60" t="s">
        <v>22</v>
      </c>
      <c r="I9" s="59" t="s">
        <v>23</v>
      </c>
      <c r="J9" s="59" t="s">
        <v>21</v>
      </c>
      <c r="K9" s="60" t="s">
        <v>22</v>
      </c>
      <c r="L9" s="59" t="s">
        <v>23</v>
      </c>
      <c r="M9" s="59"/>
    </row>
    <row r="10" spans="1:13" s="27" customFormat="1">
      <c r="A10" s="69" t="s">
        <v>348</v>
      </c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</row>
    <row r="11" spans="1:13" s="27" customFormat="1" ht="84.55">
      <c r="A11" s="62" t="s">
        <v>338</v>
      </c>
      <c r="B11" s="1" t="s">
        <v>25</v>
      </c>
      <c r="C11" s="23"/>
      <c r="D11" s="23"/>
      <c r="E11" s="63" t="s">
        <v>333</v>
      </c>
      <c r="F11" s="63" t="s">
        <v>333</v>
      </c>
      <c r="G11" s="49" t="s">
        <v>117</v>
      </c>
      <c r="H11" s="6">
        <v>46085</v>
      </c>
      <c r="I11" s="50" t="s">
        <v>32</v>
      </c>
      <c r="J11" s="23"/>
      <c r="K11" s="65"/>
      <c r="L11" s="64"/>
      <c r="M11" s="23"/>
    </row>
    <row r="12" spans="1:13" s="27" customFormat="1" ht="50.75">
      <c r="A12" s="62" t="s">
        <v>339</v>
      </c>
      <c r="B12" s="1" t="s">
        <v>329</v>
      </c>
      <c r="C12" s="23"/>
      <c r="D12" s="23"/>
      <c r="E12" s="63" t="s">
        <v>334</v>
      </c>
      <c r="F12" s="63" t="s">
        <v>334</v>
      </c>
      <c r="G12" s="49" t="s">
        <v>117</v>
      </c>
      <c r="H12" s="6">
        <v>46085</v>
      </c>
      <c r="I12" s="50" t="s">
        <v>32</v>
      </c>
      <c r="J12" s="23"/>
      <c r="K12" s="65"/>
      <c r="L12" s="64"/>
      <c r="M12" s="23"/>
    </row>
    <row r="13" spans="1:13" s="27" customFormat="1" ht="50.75">
      <c r="A13" s="62" t="s">
        <v>340</v>
      </c>
      <c r="B13" s="1" t="s">
        <v>330</v>
      </c>
      <c r="C13" s="23"/>
      <c r="D13" s="23"/>
      <c r="E13" s="63" t="s">
        <v>335</v>
      </c>
      <c r="F13" s="63" t="s">
        <v>335</v>
      </c>
      <c r="G13" s="49" t="s">
        <v>117</v>
      </c>
      <c r="H13" s="6">
        <v>46085</v>
      </c>
      <c r="I13" s="50" t="s">
        <v>32</v>
      </c>
      <c r="J13" s="23"/>
      <c r="K13" s="65"/>
      <c r="L13" s="64"/>
      <c r="M13" s="23"/>
    </row>
    <row r="14" spans="1:13" s="27" customFormat="1" ht="84.55">
      <c r="A14" s="62" t="s">
        <v>341</v>
      </c>
      <c r="B14" s="1" t="s">
        <v>331</v>
      </c>
      <c r="C14" s="23"/>
      <c r="D14" s="23"/>
      <c r="E14" s="63" t="s">
        <v>336</v>
      </c>
      <c r="F14" s="63" t="s">
        <v>336</v>
      </c>
      <c r="G14" s="49" t="s">
        <v>117</v>
      </c>
      <c r="H14" s="6">
        <v>46085</v>
      </c>
      <c r="I14" s="50" t="s">
        <v>32</v>
      </c>
      <c r="J14" s="23"/>
      <c r="K14" s="65"/>
      <c r="L14" s="64"/>
      <c r="M14" s="23"/>
    </row>
    <row r="15" spans="1:13" s="27" customFormat="1" ht="50.75">
      <c r="A15" s="62" t="s">
        <v>342</v>
      </c>
      <c r="B15" s="1" t="s">
        <v>332</v>
      </c>
      <c r="C15" s="23"/>
      <c r="D15" s="23"/>
      <c r="E15" s="63" t="s">
        <v>337</v>
      </c>
      <c r="F15" s="63" t="s">
        <v>337</v>
      </c>
      <c r="G15" s="49" t="s">
        <v>117</v>
      </c>
      <c r="H15" s="6">
        <v>46085</v>
      </c>
      <c r="I15" s="50" t="s">
        <v>32</v>
      </c>
      <c r="J15" s="23"/>
      <c r="K15" s="65"/>
      <c r="L15" s="64"/>
      <c r="M15" s="23"/>
    </row>
    <row r="16" spans="1:13" s="27" customFormat="1" ht="33.85">
      <c r="A16" s="62" t="s">
        <v>343</v>
      </c>
      <c r="B16" s="1" t="s">
        <v>388</v>
      </c>
      <c r="C16" s="23"/>
      <c r="D16" s="23"/>
      <c r="E16" s="63" t="s">
        <v>196</v>
      </c>
      <c r="F16" s="63" t="s">
        <v>196</v>
      </c>
      <c r="G16" s="49" t="s">
        <v>117</v>
      </c>
      <c r="H16" s="6">
        <v>46085</v>
      </c>
      <c r="I16" s="50" t="s">
        <v>32</v>
      </c>
      <c r="J16" s="23"/>
      <c r="K16" s="65"/>
      <c r="L16" s="64"/>
      <c r="M16" s="23"/>
    </row>
    <row r="17" spans="1:13" s="27" customFormat="1" ht="50.75">
      <c r="A17" s="62" t="s">
        <v>344</v>
      </c>
      <c r="B17" s="1" t="s">
        <v>389</v>
      </c>
      <c r="C17" s="23"/>
      <c r="D17" s="23"/>
      <c r="E17" s="63" t="s">
        <v>391</v>
      </c>
      <c r="F17" s="63" t="s">
        <v>391</v>
      </c>
      <c r="G17" s="49" t="s">
        <v>117</v>
      </c>
      <c r="H17" s="6">
        <v>46085</v>
      </c>
      <c r="I17" s="50" t="s">
        <v>32</v>
      </c>
      <c r="J17" s="23"/>
      <c r="K17" s="65"/>
      <c r="L17" s="64"/>
      <c r="M17" s="23"/>
    </row>
    <row r="18" spans="1:13" s="27" customFormat="1" ht="50.75">
      <c r="A18" s="62" t="s">
        <v>345</v>
      </c>
      <c r="B18" s="1" t="s">
        <v>390</v>
      </c>
      <c r="C18" s="23"/>
      <c r="D18" s="23"/>
      <c r="E18" s="63" t="s">
        <v>337</v>
      </c>
      <c r="F18" s="63" t="s">
        <v>337</v>
      </c>
      <c r="G18" s="49" t="s">
        <v>117</v>
      </c>
      <c r="H18" s="6">
        <v>46085</v>
      </c>
      <c r="I18" s="50" t="s">
        <v>32</v>
      </c>
      <c r="J18" s="23"/>
      <c r="K18" s="65"/>
      <c r="L18" s="64"/>
      <c r="M18" s="23"/>
    </row>
    <row r="19" spans="1:13" ht="33.85">
      <c r="A19" s="62" t="s">
        <v>346</v>
      </c>
      <c r="B19" s="1" t="s">
        <v>179</v>
      </c>
      <c r="C19" s="1"/>
      <c r="D19" s="1"/>
      <c r="E19" s="63" t="s">
        <v>196</v>
      </c>
      <c r="F19" s="63" t="s">
        <v>196</v>
      </c>
      <c r="G19" s="49" t="s">
        <v>117</v>
      </c>
      <c r="H19" s="6">
        <v>46085</v>
      </c>
      <c r="I19" s="50" t="s">
        <v>32</v>
      </c>
      <c r="J19" s="1"/>
      <c r="K19" s="1"/>
      <c r="L19" s="1"/>
      <c r="M19" s="1"/>
    </row>
    <row r="20" spans="1:13" ht="33.85">
      <c r="A20" s="62" t="s">
        <v>347</v>
      </c>
      <c r="B20" s="1" t="s">
        <v>180</v>
      </c>
      <c r="C20" s="1"/>
      <c r="D20" s="1"/>
      <c r="E20" s="63" t="s">
        <v>196</v>
      </c>
      <c r="F20" s="63" t="s">
        <v>196</v>
      </c>
      <c r="G20" s="49" t="s">
        <v>117</v>
      </c>
      <c r="H20" s="6">
        <v>46085</v>
      </c>
      <c r="I20" s="50" t="s">
        <v>32</v>
      </c>
      <c r="J20" s="1"/>
      <c r="K20" s="1"/>
      <c r="L20" s="1"/>
      <c r="M20" s="1"/>
    </row>
    <row r="21" spans="1:13" ht="33.85">
      <c r="A21" s="62" t="s">
        <v>400</v>
      </c>
      <c r="B21" s="1" t="s">
        <v>181</v>
      </c>
      <c r="C21" s="1"/>
      <c r="D21" s="1"/>
      <c r="E21" s="63" t="s">
        <v>196</v>
      </c>
      <c r="F21" s="63" t="s">
        <v>196</v>
      </c>
      <c r="G21" s="49" t="s">
        <v>117</v>
      </c>
      <c r="H21" s="6">
        <v>46085</v>
      </c>
      <c r="I21" s="50" t="s">
        <v>32</v>
      </c>
      <c r="J21" s="1"/>
      <c r="K21" s="1"/>
      <c r="L21" s="1"/>
      <c r="M21" s="1"/>
    </row>
    <row r="22" spans="1:13" ht="50.75">
      <c r="A22" s="62" t="s">
        <v>401</v>
      </c>
      <c r="B22" s="1" t="s">
        <v>182</v>
      </c>
      <c r="C22" s="1"/>
      <c r="D22" s="1"/>
      <c r="E22" s="63" t="s">
        <v>201</v>
      </c>
      <c r="F22" s="63" t="s">
        <v>201</v>
      </c>
      <c r="G22" s="49" t="s">
        <v>117</v>
      </c>
      <c r="H22" s="6">
        <v>46085</v>
      </c>
      <c r="I22" s="50" t="s">
        <v>32</v>
      </c>
      <c r="J22" s="1"/>
      <c r="K22" s="1"/>
      <c r="L22" s="1"/>
      <c r="M22" s="1"/>
    </row>
    <row r="23" spans="1:13" ht="50.75">
      <c r="A23" s="62" t="s">
        <v>402</v>
      </c>
      <c r="B23" s="1" t="s">
        <v>183</v>
      </c>
      <c r="C23" s="1"/>
      <c r="D23" s="1"/>
      <c r="E23" s="63" t="s">
        <v>202</v>
      </c>
      <c r="F23" s="63" t="s">
        <v>202</v>
      </c>
      <c r="G23" s="49" t="s">
        <v>117</v>
      </c>
      <c r="H23" s="6">
        <v>46085</v>
      </c>
      <c r="I23" s="50" t="s">
        <v>32</v>
      </c>
      <c r="J23" s="1"/>
      <c r="K23" s="1"/>
      <c r="L23" s="1"/>
      <c r="M23" s="1"/>
    </row>
    <row r="24" spans="1:13" ht="50.75">
      <c r="A24" s="62" t="s">
        <v>403</v>
      </c>
      <c r="B24" s="1" t="s">
        <v>199</v>
      </c>
      <c r="C24" s="1"/>
      <c r="D24" s="1"/>
      <c r="E24" s="63" t="s">
        <v>131</v>
      </c>
      <c r="F24" s="63" t="s">
        <v>131</v>
      </c>
      <c r="G24" s="49" t="s">
        <v>117</v>
      </c>
      <c r="H24" s="6">
        <v>46085</v>
      </c>
      <c r="I24" s="50" t="s">
        <v>32</v>
      </c>
      <c r="J24" s="1"/>
      <c r="K24" s="1"/>
      <c r="L24" s="1"/>
      <c r="M24" s="1"/>
    </row>
    <row r="25" spans="1:13" s="27" customFormat="1">
      <c r="A25" s="69" t="s">
        <v>349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</row>
    <row r="26" spans="1:13" s="27" customFormat="1" ht="33.85">
      <c r="A26" s="26" t="s">
        <v>392</v>
      </c>
      <c r="B26" s="1" t="s">
        <v>357</v>
      </c>
      <c r="C26" s="1" t="s">
        <v>359</v>
      </c>
      <c r="D26" s="1" t="s">
        <v>358</v>
      </c>
      <c r="E26" s="1" t="s">
        <v>376</v>
      </c>
      <c r="F26" s="1" t="s">
        <v>376</v>
      </c>
      <c r="G26" s="49" t="s">
        <v>117</v>
      </c>
      <c r="H26" s="6">
        <v>46085</v>
      </c>
      <c r="I26" s="50" t="s">
        <v>32</v>
      </c>
      <c r="J26" s="23"/>
      <c r="K26" s="3"/>
      <c r="L26" s="64"/>
      <c r="M26" s="23"/>
    </row>
    <row r="27" spans="1:13" s="27" customFormat="1" ht="67.650000000000006">
      <c r="A27" s="26" t="s">
        <v>393</v>
      </c>
      <c r="B27" s="1" t="s">
        <v>360</v>
      </c>
      <c r="C27" s="1" t="s">
        <v>381</v>
      </c>
      <c r="D27" s="1" t="s">
        <v>382</v>
      </c>
      <c r="E27" s="1" t="s">
        <v>383</v>
      </c>
      <c r="F27" s="1" t="s">
        <v>383</v>
      </c>
      <c r="G27" s="49" t="s">
        <v>117</v>
      </c>
      <c r="H27" s="6">
        <v>46085</v>
      </c>
      <c r="I27" s="50" t="s">
        <v>32</v>
      </c>
      <c r="J27" s="23"/>
      <c r="K27" s="3"/>
      <c r="L27" s="64"/>
      <c r="M27" s="23"/>
    </row>
    <row r="28" spans="1:13" s="27" customFormat="1">
      <c r="A28" s="26" t="s">
        <v>394</v>
      </c>
      <c r="B28" s="1" t="s">
        <v>384</v>
      </c>
      <c r="C28" s="1" t="s">
        <v>359</v>
      </c>
      <c r="D28" s="1" t="s">
        <v>387</v>
      </c>
      <c r="E28" s="1" t="s">
        <v>385</v>
      </c>
      <c r="F28" s="1" t="s">
        <v>386</v>
      </c>
      <c r="G28" s="49" t="s">
        <v>121</v>
      </c>
      <c r="H28" s="6">
        <v>46085</v>
      </c>
      <c r="I28" s="50" t="s">
        <v>32</v>
      </c>
      <c r="J28" s="23"/>
      <c r="K28" s="3"/>
      <c r="L28" s="64"/>
      <c r="M28" s="23"/>
    </row>
    <row r="29" spans="1:13" s="27" customFormat="1">
      <c r="A29" s="26" t="s">
        <v>395</v>
      </c>
      <c r="B29" s="1" t="s">
        <v>361</v>
      </c>
      <c r="C29" s="1" t="s">
        <v>363</v>
      </c>
      <c r="D29" s="1" t="s">
        <v>362</v>
      </c>
      <c r="E29" s="1" t="s">
        <v>377</v>
      </c>
      <c r="F29" s="1" t="s">
        <v>377</v>
      </c>
      <c r="G29" s="49" t="s">
        <v>117</v>
      </c>
      <c r="H29" s="6">
        <v>46085</v>
      </c>
      <c r="I29" s="50" t="s">
        <v>32</v>
      </c>
      <c r="J29" s="23"/>
      <c r="K29" s="3"/>
      <c r="L29" s="64"/>
      <c r="M29" s="23"/>
    </row>
    <row r="30" spans="1:13" s="27" customFormat="1">
      <c r="A30" s="26" t="s">
        <v>396</v>
      </c>
      <c r="B30" s="1" t="s">
        <v>364</v>
      </c>
      <c r="C30" s="1" t="s">
        <v>366</v>
      </c>
      <c r="D30" s="1" t="s">
        <v>365</v>
      </c>
      <c r="E30" s="1" t="s">
        <v>379</v>
      </c>
      <c r="F30" s="1" t="s">
        <v>379</v>
      </c>
      <c r="G30" s="49" t="s">
        <v>117</v>
      </c>
      <c r="H30" s="6">
        <v>46085</v>
      </c>
      <c r="I30" s="50" t="s">
        <v>32</v>
      </c>
      <c r="J30" s="23"/>
      <c r="K30" s="3"/>
      <c r="L30" s="64"/>
      <c r="M30" s="23"/>
    </row>
    <row r="31" spans="1:13" ht="50.75">
      <c r="A31" s="26" t="s">
        <v>397</v>
      </c>
      <c r="B31" s="1" t="s">
        <v>368</v>
      </c>
      <c r="C31" s="1" t="s">
        <v>370</v>
      </c>
      <c r="D31" s="1" t="s">
        <v>369</v>
      </c>
      <c r="E31" s="1" t="s">
        <v>380</v>
      </c>
      <c r="F31" s="1" t="s">
        <v>380</v>
      </c>
      <c r="G31" s="49" t="s">
        <v>117</v>
      </c>
      <c r="H31" s="6">
        <v>46085</v>
      </c>
      <c r="I31" s="50" t="s">
        <v>32</v>
      </c>
      <c r="J31" s="23"/>
      <c r="K31" s="3"/>
      <c r="L31" s="64"/>
      <c r="M31" s="23"/>
    </row>
    <row r="32" spans="1:13" ht="33.85">
      <c r="A32" s="26" t="s">
        <v>398</v>
      </c>
      <c r="B32" s="1" t="s">
        <v>371</v>
      </c>
      <c r="C32" s="1" t="s">
        <v>372</v>
      </c>
      <c r="D32" s="1" t="s">
        <v>365</v>
      </c>
      <c r="E32" s="1" t="s">
        <v>375</v>
      </c>
      <c r="F32" s="1" t="s">
        <v>408</v>
      </c>
      <c r="G32" s="49" t="s">
        <v>121</v>
      </c>
      <c r="H32" s="6">
        <v>46085</v>
      </c>
      <c r="I32" s="50" t="s">
        <v>32</v>
      </c>
      <c r="J32" s="23"/>
      <c r="K32" s="3"/>
      <c r="L32" s="64"/>
      <c r="M32" s="23"/>
    </row>
    <row r="33" spans="1:13" ht="33.85">
      <c r="A33" s="26" t="s">
        <v>399</v>
      </c>
      <c r="B33" s="1" t="s">
        <v>373</v>
      </c>
      <c r="C33" s="1" t="s">
        <v>374</v>
      </c>
      <c r="D33" s="1" t="s">
        <v>367</v>
      </c>
      <c r="E33" s="1" t="s">
        <v>378</v>
      </c>
      <c r="F33" s="1" t="s">
        <v>378</v>
      </c>
      <c r="G33" s="49" t="s">
        <v>117</v>
      </c>
      <c r="H33" s="6">
        <v>46085</v>
      </c>
      <c r="I33" s="50" t="s">
        <v>32</v>
      </c>
      <c r="J33" s="1"/>
      <c r="K33" s="1"/>
      <c r="L33" s="1"/>
      <c r="M33" s="1"/>
    </row>
    <row r="34" spans="1:13" ht="50.75">
      <c r="A34" s="26" t="s">
        <v>409</v>
      </c>
      <c r="B34" s="1" t="s">
        <v>404</v>
      </c>
      <c r="C34" s="1" t="s">
        <v>405</v>
      </c>
      <c r="D34" s="1" t="s">
        <v>406</v>
      </c>
      <c r="E34" s="1" t="s">
        <v>407</v>
      </c>
      <c r="F34" s="1" t="s">
        <v>407</v>
      </c>
      <c r="G34" s="49" t="s">
        <v>117</v>
      </c>
      <c r="H34" s="6">
        <v>46085</v>
      </c>
      <c r="I34" s="50" t="s">
        <v>32</v>
      </c>
      <c r="J34" s="1"/>
      <c r="K34" s="1"/>
      <c r="L34" s="1"/>
      <c r="M34" s="1"/>
    </row>
  </sheetData>
  <mergeCells count="1">
    <mergeCell ref="B1:F1"/>
  </mergeCells>
  <phoneticPr fontId="8" type="noConversion"/>
  <conditionalFormatting sqref="G11:G18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1:G24">
    <cfRule type="containsText" dxfId="44" priority="1" operator="containsText" text="Pass">
      <formula>NOT(ISERROR(SEARCH("Pass",G11)))</formula>
    </cfRule>
    <cfRule type="containsText" dxfId="43" priority="2" operator="containsText" text="Fail">
      <formula>NOT(ISERROR(SEARCH("Fail",G11)))</formula>
    </cfRule>
    <cfRule type="containsText" dxfId="42" priority="3" operator="containsText" text="Pass">
      <formula>NOT(ISERROR(SEARCH("Pass",G11)))</formula>
    </cfRule>
  </conditionalFormatting>
  <conditionalFormatting sqref="G19:G2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6:G34">
    <cfRule type="containsText" dxfId="41" priority="73" operator="containsText" text="Pass">
      <formula>NOT(ISERROR(SEARCH("Pass",G26)))</formula>
    </cfRule>
    <cfRule type="containsText" dxfId="40" priority="74" operator="containsText" text="Fail">
      <formula>NOT(ISERROR(SEARCH("Fail",G26)))</formula>
    </cfRule>
    <cfRule type="containsText" dxfId="39" priority="75" operator="containsText" text="Pass">
      <formula>NOT(ISERROR(SEARCH("Pass",G26)))</formula>
    </cfRule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operator="equal" allowBlank="1" showErrorMessage="1" promptTitle="dfdf" sqref="J26:J32 J11:J18" xr:uid="{BD691BE6-2B50-4ED4-8836-A803F3D9F845}">
      <formula1>"Passed,Untested,Failed,Blocked"</formula1>
      <formula2>0</formula2>
    </dataValidation>
    <dataValidation type="list" allowBlank="1" showErrorMessage="1" sqref="G11:G24 G26:G34" xr:uid="{CD153AFC-9DA4-45BB-B046-DE5970F59081}">
      <formula1>"Pass,Fail"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96E4F-8A18-4E82-BBEC-84CCF2302B90}">
  <dimension ref="A1:M25"/>
  <sheetViews>
    <sheetView topLeftCell="A7" zoomScale="40" zoomScaleNormal="40" workbookViewId="0">
      <selection activeCell="F6" sqref="F6"/>
    </sheetView>
  </sheetViews>
  <sheetFormatPr defaultColWidth="9.109375" defaultRowHeight="16.899999999999999"/>
  <cols>
    <col min="1" max="1" width="21.33203125" style="4" bestFit="1" customWidth="1"/>
    <col min="2" max="2" width="31.6640625" style="4" bestFit="1" customWidth="1"/>
    <col min="3" max="3" width="34.33203125" style="4" bestFit="1" customWidth="1"/>
    <col min="4" max="4" width="29" style="4" bestFit="1" customWidth="1"/>
    <col min="5" max="5" width="40" style="4" bestFit="1" customWidth="1"/>
    <col min="6" max="6" width="46" style="4" bestFit="1" customWidth="1"/>
    <col min="7" max="7" width="16" style="4" bestFit="1" customWidth="1"/>
    <col min="8" max="8" width="21.5546875" style="4" bestFit="1" customWidth="1"/>
    <col min="9" max="9" width="22.6640625" style="4" bestFit="1" customWidth="1"/>
    <col min="10" max="10" width="16" style="4" bestFit="1" customWidth="1"/>
    <col min="11" max="11" width="21.5546875" style="4" bestFit="1" customWidth="1"/>
    <col min="12" max="12" width="22.6640625" style="4" bestFit="1" customWidth="1"/>
    <col min="13" max="13" width="16" style="4" bestFit="1" customWidth="1"/>
    <col min="14" max="16384" width="9.109375" style="4"/>
  </cols>
  <sheetData>
    <row r="1" spans="1:13" s="27" customFormat="1" ht="16" customHeight="1">
      <c r="A1" s="44" t="s">
        <v>6</v>
      </c>
      <c r="B1" s="70" t="s">
        <v>84</v>
      </c>
      <c r="C1" s="70"/>
      <c r="D1" s="70"/>
      <c r="E1" s="70"/>
      <c r="F1" s="70"/>
      <c r="G1" s="17"/>
      <c r="H1" s="36"/>
      <c r="J1" s="17"/>
    </row>
    <row r="2" spans="1:13" s="27" customFormat="1">
      <c r="A2" s="44" t="s">
        <v>7</v>
      </c>
      <c r="B2" s="71" t="s">
        <v>83</v>
      </c>
      <c r="C2" s="71"/>
      <c r="D2" s="71"/>
      <c r="E2" s="71"/>
      <c r="F2" s="71"/>
      <c r="G2" s="17"/>
      <c r="H2" s="36"/>
      <c r="J2" s="17"/>
    </row>
    <row r="3" spans="1:13" s="27" customFormat="1" ht="16.45" customHeight="1">
      <c r="A3" s="41"/>
      <c r="B3" s="33" t="s">
        <v>8</v>
      </c>
      <c r="C3" s="33" t="s">
        <v>9</v>
      </c>
      <c r="D3" s="33" t="s">
        <v>10</v>
      </c>
      <c r="E3" s="33" t="s">
        <v>82</v>
      </c>
      <c r="F3" s="33" t="s">
        <v>81</v>
      </c>
      <c r="G3" s="17"/>
      <c r="H3" s="36"/>
      <c r="J3" s="17"/>
    </row>
    <row r="4" spans="1:13" s="27" customFormat="1">
      <c r="A4" s="42" t="s">
        <v>11</v>
      </c>
      <c r="B4" s="39">
        <v>13</v>
      </c>
      <c r="C4" s="39">
        <v>0</v>
      </c>
      <c r="D4" s="41">
        <f>COUNTIF(G11:G21,"Untested")</f>
        <v>0</v>
      </c>
      <c r="E4" s="40">
        <f>COUNTIF(G11:G21,"Blocked")</f>
        <v>0</v>
      </c>
      <c r="F4" s="39">
        <v>13</v>
      </c>
      <c r="G4" s="17"/>
      <c r="H4" s="36"/>
      <c r="J4" s="17"/>
    </row>
    <row r="5" spans="1:13" s="27" customFormat="1">
      <c r="A5" s="42" t="s">
        <v>12</v>
      </c>
      <c r="B5" s="39">
        <v>0</v>
      </c>
      <c r="C5" s="39">
        <v>0</v>
      </c>
      <c r="D5" s="41">
        <f>COUNTIF(J11:J21,"Untested")</f>
        <v>0</v>
      </c>
      <c r="E5" s="40">
        <f>COUNTIF(J11:J21,"Blocked")</f>
        <v>0</v>
      </c>
      <c r="F5" s="39">
        <v>0</v>
      </c>
      <c r="G5" s="17"/>
      <c r="H5" s="36"/>
      <c r="J5" s="17"/>
    </row>
    <row r="6" spans="1:13" s="27" customFormat="1" ht="409.5" customHeight="1">
      <c r="A6" s="38"/>
      <c r="B6" s="37"/>
      <c r="E6" s="18"/>
      <c r="G6" s="17"/>
      <c r="H6" s="36"/>
      <c r="J6" s="17"/>
    </row>
    <row r="7" spans="1:13" s="27" customFormat="1">
      <c r="A7" s="72" t="s">
        <v>13</v>
      </c>
      <c r="B7" s="72" t="s">
        <v>5</v>
      </c>
      <c r="C7" s="72" t="s">
        <v>80</v>
      </c>
      <c r="D7" s="72" t="s">
        <v>14</v>
      </c>
      <c r="E7" s="72" t="s">
        <v>15</v>
      </c>
      <c r="F7" s="72" t="s">
        <v>16</v>
      </c>
      <c r="G7" s="72" t="s">
        <v>17</v>
      </c>
      <c r="H7" s="72"/>
      <c r="I7" s="72"/>
      <c r="J7" s="72" t="s">
        <v>17</v>
      </c>
      <c r="K7" s="72"/>
      <c r="L7" s="72"/>
      <c r="M7" s="72" t="s">
        <v>18</v>
      </c>
    </row>
    <row r="8" spans="1:13" s="27" customFormat="1">
      <c r="A8" s="72"/>
      <c r="B8" s="72"/>
      <c r="C8" s="72"/>
      <c r="D8" s="72"/>
      <c r="E8" s="72"/>
      <c r="F8" s="72"/>
      <c r="G8" s="72" t="s">
        <v>19</v>
      </c>
      <c r="H8" s="72"/>
      <c r="I8" s="72"/>
      <c r="J8" s="72" t="s">
        <v>20</v>
      </c>
      <c r="K8" s="72"/>
      <c r="L8" s="72"/>
      <c r="M8" s="72"/>
    </row>
    <row r="9" spans="1:13" s="27" customFormat="1">
      <c r="A9" s="72"/>
      <c r="B9" s="72"/>
      <c r="C9" s="72"/>
      <c r="D9" s="72"/>
      <c r="E9" s="72"/>
      <c r="F9" s="72"/>
      <c r="G9" s="35" t="s">
        <v>21</v>
      </c>
      <c r="H9" s="34" t="s">
        <v>22</v>
      </c>
      <c r="I9" s="33" t="s">
        <v>23</v>
      </c>
      <c r="J9" s="35" t="s">
        <v>21</v>
      </c>
      <c r="K9" s="34" t="s">
        <v>22</v>
      </c>
      <c r="L9" s="33" t="s">
        <v>23</v>
      </c>
      <c r="M9" s="72"/>
    </row>
    <row r="10" spans="1:13" s="27" customFormat="1">
      <c r="A10" s="74" t="s">
        <v>79</v>
      </c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</row>
    <row r="11" spans="1:13" s="27" customFormat="1" ht="33.85">
      <c r="A11" s="31" t="s">
        <v>78</v>
      </c>
      <c r="B11" s="26" t="s">
        <v>77</v>
      </c>
      <c r="C11" s="20"/>
      <c r="D11" s="20"/>
      <c r="E11" s="30" t="s">
        <v>27</v>
      </c>
      <c r="F11" s="30" t="s">
        <v>27</v>
      </c>
      <c r="G11" s="49" t="s">
        <v>117</v>
      </c>
      <c r="H11" s="92">
        <v>46269</v>
      </c>
      <c r="I11" s="91" t="s">
        <v>24</v>
      </c>
      <c r="J11" s="22"/>
      <c r="K11" s="29"/>
      <c r="L11" s="21"/>
      <c r="M11" s="20"/>
    </row>
    <row r="12" spans="1:13" s="27" customFormat="1" ht="33.85">
      <c r="A12" s="31" t="s">
        <v>76</v>
      </c>
      <c r="B12" s="26" t="s">
        <v>75</v>
      </c>
      <c r="C12" s="20"/>
      <c r="D12" s="20"/>
      <c r="E12" s="30" t="s">
        <v>26</v>
      </c>
      <c r="F12" s="30" t="s">
        <v>26</v>
      </c>
      <c r="G12" s="49" t="s">
        <v>117</v>
      </c>
      <c r="H12" s="92">
        <v>46269</v>
      </c>
      <c r="I12" s="91" t="s">
        <v>24</v>
      </c>
      <c r="J12" s="22"/>
      <c r="K12" s="29"/>
      <c r="L12" s="21"/>
      <c r="M12" s="20"/>
    </row>
    <row r="13" spans="1:13" s="27" customFormat="1" ht="33.85">
      <c r="A13" s="31" t="s">
        <v>74</v>
      </c>
      <c r="B13" s="26" t="s">
        <v>73</v>
      </c>
      <c r="C13" s="20"/>
      <c r="D13" s="20"/>
      <c r="E13" s="30" t="s">
        <v>26</v>
      </c>
      <c r="F13" s="30" t="s">
        <v>26</v>
      </c>
      <c r="G13" s="49" t="s">
        <v>117</v>
      </c>
      <c r="H13" s="92">
        <v>46269</v>
      </c>
      <c r="I13" s="91" t="s">
        <v>24</v>
      </c>
      <c r="J13" s="22"/>
      <c r="K13" s="29"/>
      <c r="L13" s="21"/>
      <c r="M13" s="20"/>
    </row>
    <row r="14" spans="1:13" s="27" customFormat="1" ht="33.85">
      <c r="A14" s="31" t="s">
        <v>72</v>
      </c>
      <c r="B14" s="26" t="s">
        <v>71</v>
      </c>
      <c r="C14" s="20"/>
      <c r="D14" s="20"/>
      <c r="E14" s="30" t="s">
        <v>26</v>
      </c>
      <c r="F14" s="30" t="s">
        <v>66</v>
      </c>
      <c r="G14" s="49" t="s">
        <v>117</v>
      </c>
      <c r="H14" s="92">
        <v>46269</v>
      </c>
      <c r="I14" s="91" t="s">
        <v>24</v>
      </c>
      <c r="J14" s="22"/>
      <c r="K14" s="29"/>
      <c r="L14" s="21"/>
      <c r="M14" s="20"/>
    </row>
    <row r="15" spans="1:13" s="27" customFormat="1" ht="33.85">
      <c r="A15" s="31" t="s">
        <v>70</v>
      </c>
      <c r="B15" s="26" t="s">
        <v>69</v>
      </c>
      <c r="C15" s="20"/>
      <c r="D15" s="20"/>
      <c r="E15" s="30" t="s">
        <v>26</v>
      </c>
      <c r="F15" s="30" t="s">
        <v>26</v>
      </c>
      <c r="G15" s="49" t="s">
        <v>117</v>
      </c>
      <c r="H15" s="92">
        <v>46269</v>
      </c>
      <c r="I15" s="91" t="s">
        <v>24</v>
      </c>
      <c r="J15" s="22"/>
      <c r="K15" s="29"/>
      <c r="L15" s="21"/>
      <c r="M15" s="20"/>
    </row>
    <row r="16" spans="1:13" s="27" customFormat="1" ht="33.85">
      <c r="A16" s="31" t="s">
        <v>68</v>
      </c>
      <c r="B16" s="26" t="s">
        <v>67</v>
      </c>
      <c r="C16" s="20"/>
      <c r="D16" s="20"/>
      <c r="E16" s="30" t="s">
        <v>26</v>
      </c>
      <c r="F16" s="30" t="s">
        <v>66</v>
      </c>
      <c r="G16" s="49" t="s">
        <v>117</v>
      </c>
      <c r="H16" s="92">
        <v>46269</v>
      </c>
      <c r="I16" s="91" t="s">
        <v>24</v>
      </c>
      <c r="J16" s="22"/>
      <c r="K16" s="29"/>
      <c r="L16" s="21"/>
      <c r="M16" s="20"/>
    </row>
    <row r="17" spans="1:13" s="27" customFormat="1">
      <c r="A17" s="73" t="s">
        <v>65</v>
      </c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</row>
    <row r="18" spans="1:13" s="27" customFormat="1" ht="135.25">
      <c r="A18" s="26" t="s">
        <v>64</v>
      </c>
      <c r="B18" s="25" t="s">
        <v>63</v>
      </c>
      <c r="C18" s="25" t="s">
        <v>59</v>
      </c>
      <c r="D18" s="24" t="s">
        <v>38</v>
      </c>
      <c r="E18" s="1" t="s">
        <v>62</v>
      </c>
      <c r="F18" s="1" t="s">
        <v>62</v>
      </c>
      <c r="G18" s="49" t="s">
        <v>117</v>
      </c>
      <c r="H18" s="92">
        <v>46269</v>
      </c>
      <c r="I18" s="91" t="s">
        <v>24</v>
      </c>
      <c r="J18" s="21"/>
      <c r="K18" s="21"/>
      <c r="L18" s="21"/>
      <c r="M18" s="20"/>
    </row>
    <row r="19" spans="1:13" s="27" customFormat="1" ht="50.75">
      <c r="A19" s="26" t="s">
        <v>61</v>
      </c>
      <c r="B19" s="26" t="s">
        <v>60</v>
      </c>
      <c r="C19" s="25" t="s">
        <v>59</v>
      </c>
      <c r="D19" s="24" t="s">
        <v>38</v>
      </c>
      <c r="E19" s="23" t="s">
        <v>58</v>
      </c>
      <c r="F19" s="23" t="s">
        <v>58</v>
      </c>
      <c r="G19" s="49" t="s">
        <v>117</v>
      </c>
      <c r="H19" s="92">
        <v>46269</v>
      </c>
      <c r="I19" s="91" t="s">
        <v>24</v>
      </c>
      <c r="J19" s="21"/>
      <c r="K19" s="21"/>
      <c r="L19" s="21"/>
      <c r="M19" s="20"/>
    </row>
    <row r="20" spans="1:13" s="27" customFormat="1" ht="50.75">
      <c r="A20" s="26" t="s">
        <v>57</v>
      </c>
      <c r="B20" s="26" t="s">
        <v>56</v>
      </c>
      <c r="C20" s="25" t="s">
        <v>55</v>
      </c>
      <c r="D20" s="24" t="s">
        <v>38</v>
      </c>
      <c r="E20" s="23" t="s">
        <v>54</v>
      </c>
      <c r="F20" s="23" t="s">
        <v>54</v>
      </c>
      <c r="G20" s="49" t="s">
        <v>117</v>
      </c>
      <c r="H20" s="92">
        <v>46269</v>
      </c>
      <c r="I20" s="91" t="s">
        <v>24</v>
      </c>
      <c r="J20" s="21"/>
      <c r="K20" s="21"/>
      <c r="L20" s="21"/>
      <c r="M20" s="20"/>
    </row>
    <row r="21" spans="1:13" ht="50.75">
      <c r="A21" s="26" t="s">
        <v>53</v>
      </c>
      <c r="B21" s="26" t="s">
        <v>52</v>
      </c>
      <c r="C21" s="25" t="s">
        <v>51</v>
      </c>
      <c r="D21" s="24" t="s">
        <v>38</v>
      </c>
      <c r="E21" s="23" t="s">
        <v>50</v>
      </c>
      <c r="F21" s="23" t="s">
        <v>50</v>
      </c>
      <c r="G21" s="49" t="s">
        <v>117</v>
      </c>
      <c r="H21" s="92">
        <v>46269</v>
      </c>
      <c r="I21" s="91" t="s">
        <v>24</v>
      </c>
      <c r="J21" s="21"/>
      <c r="K21" s="21"/>
      <c r="L21" s="21"/>
      <c r="M21" s="20"/>
    </row>
    <row r="22" spans="1:13" ht="50.75">
      <c r="A22" s="26" t="s">
        <v>49</v>
      </c>
      <c r="B22" s="26" t="s">
        <v>48</v>
      </c>
      <c r="C22" s="25" t="s">
        <v>47</v>
      </c>
      <c r="D22" s="24" t="s">
        <v>38</v>
      </c>
      <c r="E22" s="23" t="s">
        <v>46</v>
      </c>
      <c r="F22" s="23" t="s">
        <v>46</v>
      </c>
      <c r="G22" s="49" t="s">
        <v>117</v>
      </c>
      <c r="H22" s="92">
        <v>46269</v>
      </c>
      <c r="I22" s="91" t="s">
        <v>24</v>
      </c>
      <c r="J22" s="21"/>
      <c r="K22" s="21"/>
      <c r="L22" s="21"/>
      <c r="M22" s="20"/>
    </row>
    <row r="23" spans="1:13" ht="50.75">
      <c r="A23" s="26" t="s">
        <v>45</v>
      </c>
      <c r="B23" s="25" t="s">
        <v>44</v>
      </c>
      <c r="C23" s="25" t="s">
        <v>43</v>
      </c>
      <c r="D23" s="24" t="s">
        <v>38</v>
      </c>
      <c r="E23" s="23" t="s">
        <v>42</v>
      </c>
      <c r="F23" s="23" t="s">
        <v>42</v>
      </c>
      <c r="G23" s="49" t="s">
        <v>117</v>
      </c>
      <c r="H23" s="92">
        <v>46269</v>
      </c>
      <c r="I23" s="91" t="s">
        <v>24</v>
      </c>
      <c r="J23" s="21"/>
      <c r="K23" s="21"/>
      <c r="L23" s="21"/>
      <c r="M23" s="20"/>
    </row>
    <row r="24" spans="1:13" ht="50.75">
      <c r="A24" s="26" t="s">
        <v>41</v>
      </c>
      <c r="B24" s="25" t="s">
        <v>40</v>
      </c>
      <c r="C24" s="25" t="s">
        <v>39</v>
      </c>
      <c r="D24" s="24" t="s">
        <v>38</v>
      </c>
      <c r="E24" s="23" t="s">
        <v>37</v>
      </c>
      <c r="F24" s="23" t="s">
        <v>37</v>
      </c>
      <c r="G24" s="49" t="s">
        <v>117</v>
      </c>
      <c r="H24" s="92">
        <v>46269</v>
      </c>
      <c r="I24" s="91" t="s">
        <v>24</v>
      </c>
      <c r="J24" s="21"/>
      <c r="K24" s="21"/>
      <c r="L24" s="21"/>
      <c r="M24" s="20"/>
    </row>
    <row r="25" spans="1:13">
      <c r="A25" s="19"/>
      <c r="B25" s="19"/>
      <c r="C25" s="19"/>
      <c r="D25" s="14"/>
      <c r="E25" s="18"/>
      <c r="F25" s="18"/>
      <c r="G25" s="17"/>
      <c r="H25" s="16"/>
      <c r="I25" s="15"/>
      <c r="J25" s="17"/>
      <c r="K25" s="16"/>
      <c r="L25" s="15"/>
      <c r="M25" s="14"/>
    </row>
  </sheetData>
  <mergeCells count="15">
    <mergeCell ref="A17:M17"/>
    <mergeCell ref="G7:I7"/>
    <mergeCell ref="J7:L7"/>
    <mergeCell ref="M7:M9"/>
    <mergeCell ref="G8:I8"/>
    <mergeCell ref="J8:L8"/>
    <mergeCell ref="A10:M10"/>
    <mergeCell ref="B1:F1"/>
    <mergeCell ref="B2:F2"/>
    <mergeCell ref="A7:A9"/>
    <mergeCell ref="B7:B9"/>
    <mergeCell ref="C7:C9"/>
    <mergeCell ref="D7:D9"/>
    <mergeCell ref="E7:E9"/>
    <mergeCell ref="F7:F9"/>
  </mergeCells>
  <conditionalFormatting sqref="G18:G2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8:G24">
    <cfRule type="containsText" dxfId="26" priority="9" operator="containsText" text="Pass">
      <formula>NOT(ISERROR(SEARCH("Pass",G18)))</formula>
    </cfRule>
    <cfRule type="containsText" dxfId="25" priority="10" operator="containsText" text="Fail">
      <formula>NOT(ISERROR(SEARCH("Fail",G18)))</formula>
    </cfRule>
    <cfRule type="containsText" dxfId="24" priority="11" operator="containsText" text="Pass">
      <formula>NOT(ISERROR(SEARCH("Pass",G18)))</formula>
    </cfRule>
  </conditionalFormatting>
  <conditionalFormatting sqref="G11:G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1:G16">
    <cfRule type="containsText" dxfId="20" priority="1" operator="containsText" text="Pass">
      <formula>NOT(ISERROR(SEARCH("Pass",G11)))</formula>
    </cfRule>
    <cfRule type="containsText" dxfId="19" priority="2" operator="containsText" text="Fail">
      <formula>NOT(ISERROR(SEARCH("Fail",G11)))</formula>
    </cfRule>
    <cfRule type="containsText" dxfId="18" priority="3" operator="containsText" text="Pass">
      <formula>NOT(ISERROR(SEARCH("Pass",G11)))</formula>
    </cfRule>
  </conditionalFormatting>
  <dataValidations count="2">
    <dataValidation type="list" operator="equal" allowBlank="1" showErrorMessage="1" promptTitle="dfdf" sqref="J25 J11:J16 G25" xr:uid="{00000000-0002-0000-0300-000000000000}">
      <formula1>"Passed,Untested,Failed,Blocked"</formula1>
      <formula2>0</formula2>
    </dataValidation>
    <dataValidation type="list" allowBlank="1" showErrorMessage="1" sqref="G18:G24 G11:G16" xr:uid="{C1212345-AAFC-46FB-9F53-D283BA54C3D1}">
      <formula1>"Pass,Fail"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6D0-26E9-40AA-91EF-CBE268F8569C}">
  <dimension ref="A1:M21"/>
  <sheetViews>
    <sheetView topLeftCell="A7" zoomScale="40" zoomScaleNormal="40" workbookViewId="0">
      <selection activeCell="C5" sqref="C5"/>
    </sheetView>
  </sheetViews>
  <sheetFormatPr defaultColWidth="9.109375" defaultRowHeight="16.899999999999999"/>
  <cols>
    <col min="1" max="1" width="21.33203125" style="4" bestFit="1" customWidth="1"/>
    <col min="2" max="2" width="31.6640625" style="4" bestFit="1" customWidth="1"/>
    <col min="3" max="3" width="34.33203125" style="4" bestFit="1" customWidth="1"/>
    <col min="4" max="4" width="29" style="4" bestFit="1" customWidth="1"/>
    <col min="5" max="5" width="40" style="4" bestFit="1" customWidth="1"/>
    <col min="6" max="6" width="46" style="4" bestFit="1" customWidth="1"/>
    <col min="7" max="7" width="16" style="4" bestFit="1" customWidth="1"/>
    <col min="8" max="8" width="21.5546875" style="4" bestFit="1" customWidth="1"/>
    <col min="9" max="9" width="22.6640625" style="4" bestFit="1" customWidth="1"/>
    <col min="10" max="10" width="16" style="4" bestFit="1" customWidth="1"/>
    <col min="11" max="11" width="21.5546875" style="4" bestFit="1" customWidth="1"/>
    <col min="12" max="12" width="22.6640625" style="4" bestFit="1" customWidth="1"/>
    <col min="13" max="13" width="16" style="4" bestFit="1" customWidth="1"/>
    <col min="14" max="16384" width="9.109375" style="4"/>
  </cols>
  <sheetData>
    <row r="1" spans="1:13" s="27" customFormat="1" ht="16" customHeight="1">
      <c r="A1" s="44" t="s">
        <v>6</v>
      </c>
      <c r="B1" s="70" t="s">
        <v>84</v>
      </c>
      <c r="C1" s="70"/>
      <c r="D1" s="70"/>
      <c r="E1" s="70"/>
      <c r="F1" s="70"/>
      <c r="G1" s="17"/>
      <c r="H1" s="36"/>
      <c r="J1" s="17"/>
    </row>
    <row r="2" spans="1:13" s="27" customFormat="1">
      <c r="A2" s="44" t="s">
        <v>7</v>
      </c>
      <c r="B2" s="71" t="s">
        <v>116</v>
      </c>
      <c r="C2" s="71"/>
      <c r="D2" s="71"/>
      <c r="E2" s="71"/>
      <c r="F2" s="71"/>
      <c r="G2" s="17"/>
      <c r="H2" s="36"/>
      <c r="J2" s="17"/>
    </row>
    <row r="3" spans="1:13" s="27" customFormat="1" ht="16.45" customHeight="1">
      <c r="A3" s="41"/>
      <c r="B3" s="33" t="s">
        <v>8</v>
      </c>
      <c r="C3" s="33" t="s">
        <v>9</v>
      </c>
      <c r="D3" s="33" t="s">
        <v>10</v>
      </c>
      <c r="E3" s="33" t="s">
        <v>82</v>
      </c>
      <c r="F3" s="33" t="s">
        <v>81</v>
      </c>
      <c r="G3" s="17"/>
      <c r="H3" s="36"/>
      <c r="J3" s="17"/>
    </row>
    <row r="4" spans="1:13" s="27" customFormat="1">
      <c r="A4" s="42" t="s">
        <v>11</v>
      </c>
      <c r="B4" s="39">
        <v>9</v>
      </c>
      <c r="C4" s="39">
        <v>2</v>
      </c>
      <c r="D4" s="41">
        <f>COUNTIF(G11:G19,"Untested")</f>
        <v>0</v>
      </c>
      <c r="E4" s="40">
        <f>COUNTIF(G11:G19,"Blocked")</f>
        <v>0</v>
      </c>
      <c r="F4" s="39">
        <v>9</v>
      </c>
      <c r="G4" s="17"/>
      <c r="H4" s="36"/>
      <c r="J4" s="17"/>
    </row>
    <row r="5" spans="1:13" s="27" customFormat="1">
      <c r="A5" s="42" t="s">
        <v>12</v>
      </c>
      <c r="B5" s="39">
        <v>0</v>
      </c>
      <c r="C5" s="39">
        <v>0</v>
      </c>
      <c r="D5" s="41">
        <f>COUNTIF(J11:J19,"Untested")</f>
        <v>0</v>
      </c>
      <c r="E5" s="40">
        <f>COUNTIF(J11:J19,"Blocked")</f>
        <v>0</v>
      </c>
      <c r="F5" s="39">
        <v>0</v>
      </c>
      <c r="G5" s="17"/>
      <c r="H5" s="36"/>
      <c r="J5" s="17"/>
    </row>
    <row r="6" spans="1:13" s="27" customFormat="1" ht="409.5" customHeight="1">
      <c r="A6" s="38"/>
      <c r="B6" s="37"/>
      <c r="E6" s="18"/>
      <c r="G6" s="17"/>
      <c r="H6" s="36"/>
      <c r="J6" s="17"/>
    </row>
    <row r="7" spans="1:13" s="27" customFormat="1">
      <c r="A7" s="72" t="s">
        <v>13</v>
      </c>
      <c r="B7" s="72" t="s">
        <v>5</v>
      </c>
      <c r="C7" s="72" t="s">
        <v>80</v>
      </c>
      <c r="D7" s="72" t="s">
        <v>14</v>
      </c>
      <c r="E7" s="72" t="s">
        <v>15</v>
      </c>
      <c r="F7" s="72" t="s">
        <v>16</v>
      </c>
      <c r="G7" s="72" t="s">
        <v>17</v>
      </c>
      <c r="H7" s="72"/>
      <c r="I7" s="72"/>
      <c r="J7" s="72" t="s">
        <v>17</v>
      </c>
      <c r="K7" s="72"/>
      <c r="L7" s="72"/>
      <c r="M7" s="72" t="s">
        <v>18</v>
      </c>
    </row>
    <row r="8" spans="1:13" s="27" customFormat="1">
      <c r="A8" s="72"/>
      <c r="B8" s="72"/>
      <c r="C8" s="72"/>
      <c r="D8" s="72"/>
      <c r="E8" s="72"/>
      <c r="F8" s="72"/>
      <c r="G8" s="72" t="s">
        <v>19</v>
      </c>
      <c r="H8" s="72"/>
      <c r="I8" s="72"/>
      <c r="J8" s="72" t="s">
        <v>20</v>
      </c>
      <c r="K8" s="72"/>
      <c r="L8" s="72"/>
      <c r="M8" s="72"/>
    </row>
    <row r="9" spans="1:13" s="27" customFormat="1">
      <c r="A9" s="72"/>
      <c r="B9" s="72"/>
      <c r="C9" s="72"/>
      <c r="D9" s="72"/>
      <c r="E9" s="72"/>
      <c r="F9" s="72"/>
      <c r="G9" s="35" t="s">
        <v>21</v>
      </c>
      <c r="H9" s="34" t="s">
        <v>22</v>
      </c>
      <c r="I9" s="33" t="s">
        <v>23</v>
      </c>
      <c r="J9" s="35" t="s">
        <v>21</v>
      </c>
      <c r="K9" s="34" t="s">
        <v>22</v>
      </c>
      <c r="L9" s="33" t="s">
        <v>23</v>
      </c>
      <c r="M9" s="72"/>
    </row>
    <row r="10" spans="1:13" s="27" customFormat="1">
      <c r="A10" s="74" t="s">
        <v>79</v>
      </c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</row>
    <row r="11" spans="1:13" s="27" customFormat="1" ht="33.85">
      <c r="A11" s="31" t="s">
        <v>115</v>
      </c>
      <c r="B11" s="26" t="s">
        <v>114</v>
      </c>
      <c r="C11" s="20"/>
      <c r="D11" s="20"/>
      <c r="E11" s="30" t="s">
        <v>113</v>
      </c>
      <c r="F11" s="30" t="s">
        <v>113</v>
      </c>
      <c r="G11" s="49" t="s">
        <v>117</v>
      </c>
      <c r="H11" s="92">
        <v>46269</v>
      </c>
      <c r="I11" s="91" t="s">
        <v>24</v>
      </c>
      <c r="J11" s="22"/>
      <c r="K11" s="29"/>
      <c r="L11" s="21"/>
      <c r="M11" s="20"/>
    </row>
    <row r="12" spans="1:13" s="27" customFormat="1" ht="33.85">
      <c r="A12" s="31" t="s">
        <v>112</v>
      </c>
      <c r="B12" s="26" t="s">
        <v>111</v>
      </c>
      <c r="C12" s="20"/>
      <c r="D12" s="20"/>
      <c r="E12" s="30" t="s">
        <v>66</v>
      </c>
      <c r="F12" s="30" t="s">
        <v>66</v>
      </c>
      <c r="G12" s="49" t="s">
        <v>117</v>
      </c>
      <c r="H12" s="92">
        <v>46269</v>
      </c>
      <c r="I12" s="91" t="s">
        <v>24</v>
      </c>
      <c r="J12" s="22"/>
      <c r="K12" s="29"/>
      <c r="L12" s="21"/>
      <c r="M12" s="20"/>
    </row>
    <row r="13" spans="1:13" s="27" customFormat="1" ht="33.85">
      <c r="A13" s="31" t="s">
        <v>110</v>
      </c>
      <c r="B13" s="26" t="s">
        <v>109</v>
      </c>
      <c r="C13" s="20"/>
      <c r="D13" s="20"/>
      <c r="E13" s="30" t="s">
        <v>26</v>
      </c>
      <c r="F13" s="30" t="s">
        <v>26</v>
      </c>
      <c r="G13" s="49" t="s">
        <v>117</v>
      </c>
      <c r="H13" s="92">
        <v>46269</v>
      </c>
      <c r="I13" s="91" t="s">
        <v>24</v>
      </c>
      <c r="J13" s="22"/>
      <c r="K13" s="29"/>
      <c r="L13" s="21"/>
      <c r="M13" s="20"/>
    </row>
    <row r="14" spans="1:13" s="27" customFormat="1" ht="33.85">
      <c r="A14" s="31" t="s">
        <v>108</v>
      </c>
      <c r="B14" s="26" t="s">
        <v>107</v>
      </c>
      <c r="C14" s="20"/>
      <c r="D14" s="20"/>
      <c r="E14" s="30" t="s">
        <v>106</v>
      </c>
      <c r="F14" s="30" t="s">
        <v>106</v>
      </c>
      <c r="G14" s="49" t="s">
        <v>117</v>
      </c>
      <c r="H14" s="92">
        <v>46269</v>
      </c>
      <c r="I14" s="91" t="s">
        <v>24</v>
      </c>
      <c r="J14" s="22"/>
      <c r="K14" s="29"/>
      <c r="L14" s="21"/>
      <c r="M14" s="20"/>
    </row>
    <row r="15" spans="1:13" s="27" customFormat="1">
      <c r="A15" s="73" t="s">
        <v>65</v>
      </c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</row>
    <row r="16" spans="1:13" s="27" customFormat="1" ht="67.650000000000006">
      <c r="A16" s="26" t="s">
        <v>105</v>
      </c>
      <c r="B16" s="25" t="s">
        <v>104</v>
      </c>
      <c r="C16" s="25" t="s">
        <v>100</v>
      </c>
      <c r="D16" s="24" t="s">
        <v>38</v>
      </c>
      <c r="E16" s="1" t="s">
        <v>103</v>
      </c>
      <c r="F16" s="1" t="s">
        <v>103</v>
      </c>
      <c r="G16" s="49" t="s">
        <v>117</v>
      </c>
      <c r="H16" s="92">
        <v>46269</v>
      </c>
      <c r="I16" s="91" t="s">
        <v>24</v>
      </c>
      <c r="J16" s="92"/>
      <c r="K16" s="92"/>
      <c r="L16" s="21"/>
      <c r="M16" s="20"/>
    </row>
    <row r="17" spans="1:13" s="27" customFormat="1" ht="67.650000000000006">
      <c r="A17" s="26" t="s">
        <v>102</v>
      </c>
      <c r="B17" s="26" t="s">
        <v>101</v>
      </c>
      <c r="C17" s="25" t="s">
        <v>100</v>
      </c>
      <c r="D17" s="24" t="s">
        <v>38</v>
      </c>
      <c r="E17" s="23" t="s">
        <v>99</v>
      </c>
      <c r="F17" s="23" t="s">
        <v>99</v>
      </c>
      <c r="G17" s="49" t="s">
        <v>117</v>
      </c>
      <c r="H17" s="92">
        <v>46269</v>
      </c>
      <c r="I17" s="91" t="s">
        <v>24</v>
      </c>
      <c r="J17" s="92"/>
      <c r="K17" s="92"/>
      <c r="L17" s="21"/>
      <c r="M17" s="20"/>
    </row>
    <row r="18" spans="1:13" s="27" customFormat="1" ht="101.45">
      <c r="A18" s="26" t="s">
        <v>98</v>
      </c>
      <c r="B18" s="26" t="s">
        <v>97</v>
      </c>
      <c r="C18" s="25" t="s">
        <v>96</v>
      </c>
      <c r="D18" s="24" t="s">
        <v>38</v>
      </c>
      <c r="E18" s="23" t="s">
        <v>95</v>
      </c>
      <c r="F18" s="23" t="s">
        <v>95</v>
      </c>
      <c r="G18" s="49" t="s">
        <v>117</v>
      </c>
      <c r="H18" s="92">
        <v>46269</v>
      </c>
      <c r="I18" s="91" t="s">
        <v>24</v>
      </c>
      <c r="J18" s="92"/>
      <c r="K18" s="92"/>
      <c r="L18" s="21"/>
      <c r="M18" s="20"/>
    </row>
    <row r="19" spans="1:13" ht="101.45">
      <c r="A19" s="26" t="s">
        <v>94</v>
      </c>
      <c r="B19" s="26" t="s">
        <v>93</v>
      </c>
      <c r="C19" s="25" t="s">
        <v>92</v>
      </c>
      <c r="D19" s="24" t="s">
        <v>38</v>
      </c>
      <c r="E19" s="24" t="s">
        <v>91</v>
      </c>
      <c r="F19" s="23" t="s">
        <v>90</v>
      </c>
      <c r="G19" s="49" t="s">
        <v>121</v>
      </c>
      <c r="H19" s="92">
        <v>46269</v>
      </c>
      <c r="I19" s="91" t="s">
        <v>24</v>
      </c>
      <c r="J19" s="92"/>
      <c r="K19" s="92"/>
      <c r="L19" s="21"/>
      <c r="M19" s="20"/>
    </row>
    <row r="20" spans="1:13" ht="84.55">
      <c r="A20" s="26" t="s">
        <v>89</v>
      </c>
      <c r="B20" s="26" t="s">
        <v>88</v>
      </c>
      <c r="C20" s="25" t="s">
        <v>87</v>
      </c>
      <c r="D20" s="24" t="s">
        <v>38</v>
      </c>
      <c r="E20" s="23" t="s">
        <v>86</v>
      </c>
      <c r="F20" s="23" t="s">
        <v>85</v>
      </c>
      <c r="G20" s="49" t="s">
        <v>121</v>
      </c>
      <c r="H20" s="92">
        <v>46269</v>
      </c>
      <c r="I20" s="91" t="s">
        <v>24</v>
      </c>
      <c r="J20" s="92"/>
      <c r="K20" s="92"/>
      <c r="L20" s="21"/>
      <c r="M20" s="20"/>
    </row>
    <row r="21" spans="1:13">
      <c r="A21" s="19"/>
      <c r="B21" s="19"/>
      <c r="C21" s="19"/>
      <c r="D21" s="14"/>
      <c r="E21" s="18"/>
      <c r="F21" s="18"/>
      <c r="G21" s="17"/>
      <c r="H21" s="16"/>
      <c r="I21" s="15"/>
      <c r="J21" s="17"/>
      <c r="K21" s="16"/>
      <c r="L21" s="15"/>
      <c r="M21" s="14"/>
    </row>
  </sheetData>
  <mergeCells count="15">
    <mergeCell ref="A15:M15"/>
    <mergeCell ref="G7:I7"/>
    <mergeCell ref="J7:L7"/>
    <mergeCell ref="M7:M9"/>
    <mergeCell ref="G8:I8"/>
    <mergeCell ref="J8:L8"/>
    <mergeCell ref="A10:M10"/>
    <mergeCell ref="B1:F1"/>
    <mergeCell ref="B2:F2"/>
    <mergeCell ref="A7:A9"/>
    <mergeCell ref="B7:B9"/>
    <mergeCell ref="C7:C9"/>
    <mergeCell ref="D7:D9"/>
    <mergeCell ref="E7:E9"/>
    <mergeCell ref="F7:F9"/>
  </mergeCells>
  <conditionalFormatting sqref="G16:G1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18">
    <cfRule type="containsText" dxfId="17" priority="21" operator="containsText" text="Pass">
      <formula>NOT(ISERROR(SEARCH("Pass",G16)))</formula>
    </cfRule>
    <cfRule type="containsText" dxfId="16" priority="22" operator="containsText" text="Fail">
      <formula>NOT(ISERROR(SEARCH("Fail",G16)))</formula>
    </cfRule>
    <cfRule type="containsText" dxfId="15" priority="23" operator="containsText" text="Pass">
      <formula>NOT(ISERROR(SEARCH("Pass",G16)))</formula>
    </cfRule>
  </conditionalFormatting>
  <conditionalFormatting sqref="G11:G1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1:G14">
    <cfRule type="containsText" dxfId="11" priority="13" operator="containsText" text="Pass">
      <formula>NOT(ISERROR(SEARCH("Pass",G11)))</formula>
    </cfRule>
    <cfRule type="containsText" dxfId="10" priority="14" operator="containsText" text="Fail">
      <formula>NOT(ISERROR(SEARCH("Fail",G11)))</formula>
    </cfRule>
    <cfRule type="containsText" dxfId="9" priority="15" operator="containsText" text="Pass">
      <formula>NOT(ISERROR(SEARCH("Pass",G11)))</formula>
    </cfRule>
  </conditionalFormatting>
  <conditionalFormatting sqref="G19:G2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G20">
    <cfRule type="containsText" dxfId="8" priority="9" operator="containsText" text="Pass">
      <formula>NOT(ISERROR(SEARCH("Pass",G19)))</formula>
    </cfRule>
    <cfRule type="containsText" dxfId="7" priority="10" operator="containsText" text="Fail">
      <formula>NOT(ISERROR(SEARCH("Fail",G19)))</formula>
    </cfRule>
    <cfRule type="containsText" dxfId="6" priority="11" operator="containsText" text="Pass">
      <formula>NOT(ISERROR(SEARCH("Pass",G19)))</formula>
    </cfRule>
  </conditionalFormatting>
  <dataValidations count="2">
    <dataValidation type="list" operator="equal" allowBlank="1" showErrorMessage="1" promptTitle="dfdf" sqref="G21 J11:J14 J21" xr:uid="{00000000-0002-0000-0400-000000000000}">
      <formula1>"Passed,Untested,Failed,Blocked"</formula1>
      <formula2>0</formula2>
    </dataValidation>
    <dataValidation type="list" allowBlank="1" showErrorMessage="1" sqref="G16:G20 G11:G14" xr:uid="{65260FF4-9C4E-46E1-BAAB-1A9E14B642C6}">
      <formula1>"Pass,Fail"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Trường hợp kiểm thử</vt:lpstr>
      <vt:lpstr>Thư viện thẻ</vt:lpstr>
      <vt:lpstr>Lịch sử rèn luyện</vt:lpstr>
      <vt:lpstr>chi tiết thư mục</vt:lpstr>
      <vt:lpstr>Kiểm tra</vt:lpstr>
      <vt:lpstr>Thống kê học tập</vt:lpstr>
      <vt:lpstr>Chatbot AI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cp:keywords/>
  <dc:description/>
  <cp:lastModifiedBy>Nhi Trần</cp:lastModifiedBy>
  <cp:revision/>
  <dcterms:created xsi:type="dcterms:W3CDTF">2021-04-26T08:47:37Z</dcterms:created>
  <dcterms:modified xsi:type="dcterms:W3CDTF">2026-04-10T06:49:59Z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2024-11-14T08:58:05Z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e7cf0945-fdd7-4d31-90a5-1f1c95e2c87e</vt:lpwstr>
  </property>
  <property fmtid="{D5CDD505-2E9C-101B-9397-08002B2CF9AE}" pid="7" name="MSIP_Label_defa4170-0d19-0005-0004-bc88714345d2_ActionId">
    <vt:lpwstr>ed9d25fb-943b-47a7-96c4-91b974a6cf58</vt:lpwstr>
  </property>
  <property fmtid="{D5CDD505-2E9C-101B-9397-08002B2CF9AE}" pid="8" name="MSIP_Label_defa4170-0d19-0005-0004-bc88714345d2_ContentBits">
    <vt:lpwstr>0</vt:lpwstr>
  </property>
</Properties>
</file>