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hi\Khóa luận tốt nghiệp\Bao cao Su dung cho de tai nhom\"/>
    </mc:Choice>
  </mc:AlternateContent>
  <xr:revisionPtr revIDLastSave="0" documentId="13_ncr:1_{279B8625-C3EF-436F-BD9E-A030E1B5F504}" xr6:coauthVersionLast="47" xr6:coauthVersionMax="47" xr10:uidLastSave="{00000000-0000-0000-0000-000000000000}"/>
  <bookViews>
    <workbookView xWindow="-113" yWindow="-113" windowWidth="24267" windowHeight="13023" activeTab="2" xr2:uid="{00000000-000D-0000-FFFF-FFFF00000000}"/>
  </bookViews>
  <sheets>
    <sheet name="Sprint 1" sheetId="1" r:id="rId1"/>
    <sheet name="Sprint 2" sheetId="5" r:id="rId2"/>
    <sheet name="Sprint 3" sheetId="6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1" i="1" l="1"/>
  <c r="E85" i="1"/>
  <c r="E86" i="1"/>
  <c r="E87" i="1"/>
  <c r="U91" i="1"/>
  <c r="E76" i="1"/>
  <c r="E77" i="1"/>
  <c r="E78" i="1"/>
  <c r="E79" i="1"/>
  <c r="L91" i="1"/>
  <c r="E36" i="1"/>
  <c r="E37" i="1"/>
  <c r="E35" i="1"/>
  <c r="J91" i="1"/>
  <c r="E25" i="1"/>
  <c r="E23" i="1"/>
  <c r="E24" i="1"/>
  <c r="U70" i="6"/>
  <c r="E61" i="6"/>
  <c r="E60" i="6" s="1"/>
  <c r="E59" i="6" s="1"/>
  <c r="O70" i="6"/>
  <c r="E12" i="6" a="1"/>
  <c r="E12" i="6" s="1"/>
  <c r="K6" i="4" s="1"/>
  <c r="E11" i="6" a="1"/>
  <c r="E11" i="6" s="1"/>
  <c r="I6" i="4" s="1"/>
  <c r="E10" i="6" a="1"/>
  <c r="E10" i="6" s="1"/>
  <c r="G6" i="4" s="1"/>
  <c r="E9" i="6" a="1"/>
  <c r="E9" i="6" s="1"/>
  <c r="E6" i="4" s="1"/>
  <c r="E8" i="6" a="1"/>
  <c r="E8" i="6" s="1"/>
  <c r="E8" i="1" a="1"/>
  <c r="E8" i="1" s="1"/>
  <c r="V70" i="6"/>
  <c r="T70" i="6"/>
  <c r="R70" i="6"/>
  <c r="L70" i="6"/>
  <c r="J70" i="6"/>
  <c r="J69" i="6"/>
  <c r="E70" i="6"/>
  <c r="L69" i="6"/>
  <c r="H69" i="6"/>
  <c r="I69" i="6"/>
  <c r="K69" i="6"/>
  <c r="M69" i="6"/>
  <c r="N69" i="6"/>
  <c r="O69" i="6"/>
  <c r="P69" i="6"/>
  <c r="Q69" i="6"/>
  <c r="R69" i="6"/>
  <c r="S69" i="6"/>
  <c r="T69" i="6"/>
  <c r="U69" i="6"/>
  <c r="V69" i="6"/>
  <c r="W69" i="6"/>
  <c r="G69" i="6"/>
  <c r="H70" i="6"/>
  <c r="I70" i="6"/>
  <c r="K70" i="6"/>
  <c r="M70" i="6"/>
  <c r="N70" i="6"/>
  <c r="P70" i="6"/>
  <c r="Q70" i="6"/>
  <c r="S70" i="6"/>
  <c r="W70" i="6"/>
  <c r="E66" i="6"/>
  <c r="E65" i="6" s="1"/>
  <c r="E64" i="6" s="1"/>
  <c r="E63" i="6" s="1"/>
  <c r="E16" i="5"/>
  <c r="R72" i="5"/>
  <c r="T91" i="1"/>
  <c r="R91" i="1"/>
  <c r="Q91" i="1"/>
  <c r="O91" i="1"/>
  <c r="M91" i="1"/>
  <c r="I91" i="1"/>
  <c r="H91" i="1"/>
  <c r="G91" i="1"/>
  <c r="U90" i="1"/>
  <c r="V90" i="1"/>
  <c r="U72" i="5"/>
  <c r="O72" i="5"/>
  <c r="J72" i="5"/>
  <c r="I72" i="5"/>
  <c r="H72" i="5"/>
  <c r="E68" i="5"/>
  <c r="E67" i="5" s="1"/>
  <c r="E66" i="5" s="1"/>
  <c r="V72" i="5"/>
  <c r="L72" i="5"/>
  <c r="E16" i="1"/>
  <c r="E18" i="1"/>
  <c r="P72" i="5"/>
  <c r="Q72" i="5"/>
  <c r="S72" i="5"/>
  <c r="T72" i="5"/>
  <c r="W72" i="5"/>
  <c r="N72" i="5"/>
  <c r="K72" i="5"/>
  <c r="S91" i="1"/>
  <c r="T90" i="1"/>
  <c r="R90" i="1"/>
  <c r="O90" i="1"/>
  <c r="N91" i="1"/>
  <c r="I90" i="1"/>
  <c r="K90" i="1"/>
  <c r="K91" i="1"/>
  <c r="H90" i="1"/>
  <c r="G70" i="6"/>
  <c r="S90" i="1"/>
  <c r="E17" i="1"/>
  <c r="E19" i="1"/>
  <c r="E20" i="1"/>
  <c r="E21" i="1"/>
  <c r="E22" i="1"/>
  <c r="E26" i="1"/>
  <c r="E27" i="1"/>
  <c r="E28" i="1"/>
  <c r="E29" i="1"/>
  <c r="E30" i="1"/>
  <c r="E31" i="1"/>
  <c r="E32" i="1"/>
  <c r="E33" i="1"/>
  <c r="E34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80" i="1"/>
  <c r="E81" i="1"/>
  <c r="E82" i="1"/>
  <c r="E83" i="1"/>
  <c r="E84" i="1"/>
  <c r="E88" i="1"/>
  <c r="E13" i="6" l="1"/>
  <c r="E62" i="6"/>
  <c r="E58" i="6" s="1"/>
  <c r="E57" i="6" s="1"/>
  <c r="E56" i="6" s="1"/>
  <c r="E55" i="6" s="1"/>
  <c r="E54" i="6" s="1"/>
  <c r="E53" i="6" s="1"/>
  <c r="E52" i="6" s="1"/>
  <c r="E51" i="6" s="1"/>
  <c r="E50" i="6" s="1"/>
  <c r="E49" i="6" s="1"/>
  <c r="E48" i="6" s="1"/>
  <c r="E47" i="6" s="1"/>
  <c r="E46" i="6" s="1"/>
  <c r="E45" i="6" s="1"/>
  <c r="E44" i="6" s="1"/>
  <c r="E43" i="6" s="1"/>
  <c r="E42" i="6" s="1"/>
  <c r="E41" i="6" s="1"/>
  <c r="E40" i="6" s="1"/>
  <c r="E39" i="6" s="1"/>
  <c r="E38" i="6" s="1"/>
  <c r="E37" i="6" s="1"/>
  <c r="E36" i="6" s="1"/>
  <c r="E35" i="6" s="1"/>
  <c r="E34" i="6" s="1"/>
  <c r="E33" i="6" s="1"/>
  <c r="E32" i="6" s="1"/>
  <c r="E31" i="6" s="1"/>
  <c r="E30" i="6" s="1"/>
  <c r="E29" i="6" s="1"/>
  <c r="E28" i="6" s="1"/>
  <c r="E27" i="6" s="1"/>
  <c r="E26" i="6" s="1"/>
  <c r="E25" i="6" s="1"/>
  <c r="E24" i="6" s="1"/>
  <c r="E23" i="6" s="1"/>
  <c r="E22" i="6" s="1"/>
  <c r="E21" i="6" s="1"/>
  <c r="M72" i="5"/>
  <c r="W71" i="5" l="1"/>
  <c r="V71" i="5"/>
  <c r="U71" i="5"/>
  <c r="T71" i="5"/>
  <c r="S71" i="5"/>
  <c r="R71" i="5"/>
  <c r="Q71" i="5"/>
  <c r="P71" i="5"/>
  <c r="O71" i="5"/>
  <c r="N71" i="5"/>
  <c r="M71" i="5"/>
  <c r="L71" i="5"/>
  <c r="K71" i="5" l="1"/>
  <c r="E12" i="1" a="1"/>
  <c r="E12" i="1" s="1"/>
  <c r="K4" i="4" s="1"/>
  <c r="E11" i="1" a="1"/>
  <c r="E11" i="1" s="1"/>
  <c r="I4" i="4" s="1"/>
  <c r="E10" i="1" a="1"/>
  <c r="E10" i="1" s="1"/>
  <c r="G4" i="4" s="1"/>
  <c r="E9" i="1" a="1"/>
  <c r="E9" i="1" s="1"/>
  <c r="E4" i="4" s="1"/>
  <c r="C4" i="4"/>
  <c r="P91" i="1"/>
  <c r="P90" i="1"/>
  <c r="J90" i="1"/>
  <c r="L90" i="1"/>
  <c r="M90" i="1"/>
  <c r="N90" i="1"/>
  <c r="Q90" i="1"/>
  <c r="W90" i="1"/>
  <c r="E89" i="1" s="1"/>
  <c r="D8" i="1" s="1" a="1"/>
  <c r="D8" i="1" s="1"/>
  <c r="G90" i="1"/>
  <c r="W91" i="1"/>
  <c r="E91" i="1"/>
  <c r="J71" i="5" l="1"/>
  <c r="E13" i="1"/>
  <c r="I71" i="5" l="1"/>
  <c r="H71" i="5" l="1"/>
  <c r="G71" i="5" l="1"/>
  <c r="G72" i="5"/>
  <c r="E8" i="5" l="1" a="1"/>
  <c r="E8" i="5" s="1"/>
  <c r="E12" i="5" a="1"/>
  <c r="E12" i="5" s="1"/>
  <c r="K5" i="4" s="1"/>
  <c r="K7" i="4" s="1"/>
  <c r="E11" i="5" a="1"/>
  <c r="E11" i="5" s="1"/>
  <c r="I5" i="4" s="1"/>
  <c r="I7" i="4" s="1"/>
  <c r="E9" i="5" a="1"/>
  <c r="E9" i="5" s="1"/>
  <c r="E5" i="4" s="1"/>
  <c r="E7" i="4" s="1"/>
  <c r="E10" i="5" a="1"/>
  <c r="E10" i="5" s="1"/>
  <c r="G5" i="4" s="1"/>
  <c r="G7" i="4" s="1"/>
  <c r="E72" i="5"/>
  <c r="E13" i="5" l="1"/>
  <c r="C5" i="4"/>
  <c r="D9" i="1" l="1" a="1"/>
  <c r="D9" i="1" s="1"/>
  <c r="D4" i="4" s="1"/>
  <c r="D12" i="1" a="1"/>
  <c r="D12" i="1" s="1"/>
  <c r="J4" i="4" s="1"/>
  <c r="D11" i="1" a="1"/>
  <c r="D11" i="1" s="1"/>
  <c r="H4" i="4" s="1"/>
  <c r="D10" i="1" a="1"/>
  <c r="D10" i="1" s="1"/>
  <c r="F4" i="4" s="1"/>
  <c r="E90" i="1"/>
  <c r="D13" i="1" l="1"/>
  <c r="B4" i="4"/>
  <c r="E65" i="5" l="1"/>
  <c r="E64" i="5" s="1"/>
  <c r="E63" i="5" s="1"/>
  <c r="E62" i="5" s="1"/>
  <c r="E61" i="5" s="1"/>
  <c r="E60" i="5" s="1"/>
  <c r="E59" i="5" s="1"/>
  <c r="E58" i="5" s="1"/>
  <c r="E57" i="5" s="1"/>
  <c r="E56" i="5" s="1"/>
  <c r="E55" i="5" s="1"/>
  <c r="E54" i="5" s="1"/>
  <c r="E53" i="5" s="1"/>
  <c r="E52" i="5" s="1"/>
  <c r="E51" i="5" s="1"/>
  <c r="E50" i="5" s="1"/>
  <c r="E49" i="5" s="1"/>
  <c r="E48" i="5" s="1"/>
  <c r="E47" i="5" s="1"/>
  <c r="E46" i="5" s="1"/>
  <c r="E45" i="5" s="1"/>
  <c r="E44" i="5" s="1"/>
  <c r="E43" i="5" s="1"/>
  <c r="E42" i="5" s="1"/>
  <c r="E41" i="5" s="1"/>
  <c r="E40" i="5" s="1"/>
  <c r="E39" i="5" s="1"/>
  <c r="E38" i="5" s="1"/>
  <c r="E37" i="5" s="1"/>
  <c r="E36" i="5" s="1"/>
  <c r="E35" i="5" s="1"/>
  <c r="E34" i="5" s="1"/>
  <c r="E33" i="5" s="1"/>
  <c r="E32" i="5" s="1"/>
  <c r="E31" i="5" s="1"/>
  <c r="E30" i="5" s="1"/>
  <c r="E29" i="5" s="1"/>
  <c r="E28" i="5" s="1"/>
  <c r="E27" i="5" s="1"/>
  <c r="E26" i="5" s="1"/>
  <c r="E25" i="5" s="1"/>
  <c r="E24" i="5" s="1"/>
  <c r="E23" i="5" s="1"/>
  <c r="E22" i="5" s="1"/>
  <c r="E21" i="5" s="1"/>
  <c r="E20" i="5" s="1"/>
  <c r="E19" i="5" s="1"/>
  <c r="E18" i="5" s="1"/>
  <c r="E17" i="5" s="1"/>
  <c r="D11" i="5" l="1" a="1"/>
  <c r="D11" i="5" s="1"/>
  <c r="H5" i="4" s="1"/>
  <c r="D9" i="5" a="1"/>
  <c r="D9" i="5" s="1"/>
  <c r="D5" i="4" s="1"/>
  <c r="D10" i="5" a="1"/>
  <c r="D10" i="5" s="1"/>
  <c r="F5" i="4" s="1"/>
  <c r="D8" i="5" a="1"/>
  <c r="D8" i="5" s="1"/>
  <c r="E71" i="5"/>
  <c r="D12" i="5" a="1"/>
  <c r="D12" i="5" s="1"/>
  <c r="J5" i="4" s="1"/>
  <c r="B5" i="4" l="1"/>
  <c r="D13" i="5"/>
  <c r="E20" i="6" l="1"/>
  <c r="E19" i="6" s="1"/>
  <c r="E18" i="6" s="1"/>
  <c r="E17" i="6" s="1"/>
  <c r="E16" i="6" s="1"/>
  <c r="D12" i="6" l="1" a="1"/>
  <c r="D12" i="6" s="1"/>
  <c r="J6" i="4" s="1"/>
  <c r="J7" i="4" s="1"/>
  <c r="D11" i="6" a="1"/>
  <c r="D11" i="6" s="1"/>
  <c r="H6" i="4" s="1"/>
  <c r="H7" i="4" s="1"/>
  <c r="D8" i="6" a="1"/>
  <c r="D8" i="6" s="1"/>
  <c r="D9" i="6" a="1"/>
  <c r="D9" i="6" s="1"/>
  <c r="D6" i="4" s="1"/>
  <c r="D7" i="4" s="1"/>
  <c r="D10" i="6" a="1"/>
  <c r="D10" i="6" s="1"/>
  <c r="F6" i="4" s="1"/>
  <c r="F7" i="4" s="1"/>
  <c r="E69" i="6"/>
  <c r="D13" i="6" l="1"/>
  <c r="B6" i="4"/>
  <c r="B7" i="4" s="1"/>
  <c r="F11" i="4" s="1"/>
  <c r="C6" i="4"/>
  <c r="C7" i="4" s="1"/>
  <c r="F1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<sst xmlns="http://schemas.openxmlformats.org/spreadsheetml/2006/main" count="423" uniqueCount="122">
  <si>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</si>
  <si>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</si>
  <si>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</si>
  <si>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</si>
  <si>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</si>
  <si>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</si>
  <si>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</si>
  <si>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</si>
  <si>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</si>
  <si>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</si>
  <si>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</si>
  <si>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</si>
  <si>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</si>
  <si>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</si>
  <si>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</si>
  <si>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</si>
  <si>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User interface design</t>
  </si>
  <si>
    <t>Design test case</t>
  </si>
  <si>
    <t>Coding</t>
  </si>
  <si>
    <t>Testing</t>
  </si>
  <si>
    <t>Fix Bug</t>
  </si>
  <si>
    <t>Sprint 1 review meeting</t>
  </si>
  <si>
    <t>Sprint 1 retrospective</t>
  </si>
  <si>
    <t>Release Sprint 1</t>
  </si>
  <si>
    <t>Sprint 2</t>
  </si>
  <si>
    <t>Sprint 3</t>
  </si>
  <si>
    <t>Re-testing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</si>
  <si>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</si>
  <si>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</si>
  <si>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</si>
  <si>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</si>
  <si>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</si>
  <si>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</si>
  <si>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</si>
  <si>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 đúng hạn</t>
  </si>
  <si>
    <t>Hoàng</t>
  </si>
  <si>
    <t xml:space="preserve">THIẾT KẾ VÀ PHÁT TRIỂN NỀN TẢNG HỌC TẬP THÔNG MINH TÍCH HỢP TRỢ LÝ ẢO AI VÀ CÁ NHÂN HOÁ LỘ TRÌNH HỌC TẬP </t>
  </si>
  <si>
    <t>22/3/2026</t>
  </si>
  <si>
    <t>Trần Thị Yến Nhi</t>
  </si>
  <si>
    <t>Trần Duy Dũng</t>
  </si>
  <si>
    <t>Trần Thị Thuý Hằng</t>
  </si>
  <si>
    <t>Trần Huy Hoàng</t>
  </si>
  <si>
    <t>Nguyễn Lê Nguyên</t>
  </si>
  <si>
    <t xml:space="preserve">Đăng ký </t>
  </si>
  <si>
    <t>Đăng nhập</t>
  </si>
  <si>
    <t>Quên mật khẩu</t>
  </si>
  <si>
    <t>Quản lý thông tin cá nhân</t>
  </si>
  <si>
    <t xml:space="preserve">Quản lý lịch học bằng calendar </t>
  </si>
  <si>
    <t>Quản lý danh sách công việc (todo-list) với mức độ ưu tiên và trạng thái</t>
  </si>
  <si>
    <t>Review of Sprint 1</t>
  </si>
  <si>
    <t>Review all test case of Sprint 1</t>
  </si>
  <si>
    <t>Code BackEnd Đăng ký</t>
  </si>
  <si>
    <t>Code BackEnd Đăng nhập</t>
  </si>
  <si>
    <t>Code BackEnd Quên mật khẩu</t>
  </si>
  <si>
    <t>Code BackEnd Quản lý thông tin cá nhân</t>
  </si>
  <si>
    <t>Code BackEnd Quản lý lịch học bằng calendar</t>
  </si>
  <si>
    <t>Code BackEnd Quản lý danh sách công việc (todo-list) với mức độ ưu tiên và trạng thái</t>
  </si>
  <si>
    <t>Code FrontEnd Đăng ký</t>
  </si>
  <si>
    <t>Code FrontEnd Đăng nhập</t>
  </si>
  <si>
    <t>Code FrontEnd Quên mật khẩu</t>
  </si>
  <si>
    <t>Code FrontEnd Quản lý thông tin cá nhân</t>
  </si>
  <si>
    <t>Code FrontEnd Quản lý lịch học bằng calendar</t>
  </si>
  <si>
    <t>Code FrontEnd Quản lý danh sách công việc (todo-list) với mức độ ưu tiên và trạng thái</t>
  </si>
  <si>
    <t>Integrate Code</t>
  </si>
  <si>
    <t>All Team</t>
  </si>
  <si>
    <t>Dũng</t>
  </si>
  <si>
    <t>Nhi</t>
  </si>
  <si>
    <t>Hằng</t>
  </si>
  <si>
    <t>Nguyên</t>
  </si>
  <si>
    <t>Nguyên, Hằng</t>
  </si>
  <si>
    <t>24/4/2026</t>
  </si>
  <si>
    <t>Họp kế hoạch Sprint 2</t>
  </si>
  <si>
    <t>Tạo Sprint Backlog 2</t>
  </si>
  <si>
    <t>Tạo tài liệu kiểm thử cho Sprint 2</t>
  </si>
  <si>
    <t xml:space="preserve">Tạo và ôn tập flashcard </t>
  </si>
  <si>
    <t>Quản lý tài liệu học tập</t>
  </si>
  <si>
    <t>Hằng, Nhi</t>
  </si>
  <si>
    <t>Quản lý ghi chú cá nhân</t>
  </si>
  <si>
    <t>Thống kê và trực quan hóa dữ liệu học tập</t>
  </si>
  <si>
    <t>Tương tác và nhận hỗ trợ từ chatbot AI</t>
  </si>
  <si>
    <t>Review of Sprint 2</t>
  </si>
  <si>
    <t>Review all test case of Sprint 2</t>
  </si>
  <si>
    <t>Code BackEnd Tạo và ôn tập flashcard</t>
  </si>
  <si>
    <t>Code BackEnd Quản lý tài liệu học tập</t>
  </si>
  <si>
    <t>Code BackEnd Quản lý ghi chú cá nhân</t>
  </si>
  <si>
    <t>Code BackEnd Thống kê và trực quan hóa dữ liệu học tập</t>
  </si>
  <si>
    <t>Code BackEnd Xử lý và phản hồi từ chatbot AI</t>
  </si>
  <si>
    <t>Code FrontEnd Tạo và ôn tập flashcard</t>
  </si>
  <si>
    <t>Code FrontEnd Quản lý tài liệu học tập</t>
  </si>
  <si>
    <t>Code FrontEnd Quản lý ghi chú cá nhân</t>
  </si>
  <si>
    <t>Code FrontEnd Thống kê và trực quan hóa dữ liệu học tập</t>
  </si>
  <si>
    <t>Code FrontEnd Tương tác và nhận hỗ trợ từ chatbot AI</t>
  </si>
  <si>
    <t>Release Sprint 2</t>
  </si>
  <si>
    <t>Sprint 2 Review Meeting</t>
  </si>
  <si>
    <t>Sprint 2 Retrospective</t>
  </si>
  <si>
    <t>Sprint 3 retrospective</t>
  </si>
  <si>
    <t>Sprint 3 review meeting</t>
  </si>
  <si>
    <t>Release Sprint 3</t>
  </si>
  <si>
    <t>Xem thống kê</t>
  </si>
  <si>
    <t>Theo dõi hoạt động người dùng</t>
  </si>
  <si>
    <t>Quản lý tài khoản người dùng</t>
  </si>
  <si>
    <t>Re-Testing</t>
  </si>
  <si>
    <t>Fix Bugs</t>
  </si>
  <si>
    <t>Code FrontEnd Xem thống kê</t>
  </si>
  <si>
    <t>Code FrontEnd Xem thống kê tổng quan</t>
  </si>
  <si>
    <t>Code FrontEnd Quản lý dữ liệu</t>
  </si>
  <si>
    <t>Code FrontEnd Quản lý tài khoản</t>
  </si>
  <si>
    <t>Code BackEnd Thống kê</t>
  </si>
  <si>
    <t>Code BackEnd Theo dõi hoạt động</t>
  </si>
  <si>
    <t>Review all test case of Sprint 3</t>
  </si>
  <si>
    <t>Xem thống kê và báo cáo</t>
  </si>
  <si>
    <t>Design Test Case</t>
  </si>
  <si>
    <t>Review of Sprint 3</t>
  </si>
  <si>
    <t>Tạo tài liệu kiểm thử cho Sprint 3</t>
  </si>
  <si>
    <t>Hằng, Hoàng</t>
  </si>
  <si>
    <t>Tạo Sprint Backlog 3</t>
  </si>
  <si>
    <t>25/4/2026</t>
  </si>
  <si>
    <t>Tổng quan</t>
  </si>
  <si>
    <t>Code BackEnd Tổng quan</t>
  </si>
  <si>
    <t>Code FrontEnd Tổng quan</t>
  </si>
  <si>
    <t>Dũng, Hằng, Hoàng</t>
  </si>
  <si>
    <t>Nguyên, Dũng,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</si>
</sst>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000]d/m/yy;@"/>
    <numFmt numFmtId="165" formatCode="_ * #,##0.00_ ;_ * \-#,##0.00_ ;_ * &quot;-&quot;??_ ;_ @_ "/>
    <numFmt numFmtId="166" formatCode="0.00_);[Red]\(0.00\)"/>
  </numFmts>
  <fonts count="11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5" fontId="10" fillId="0" borderId="0" applyFont="0" applyFill="0" applyBorder="0" applyAlignment="0" applyProtection="0">
      <alignment vertical="center"/>
    </xf>
  </cellStyleXfs>
  <cellXfs count="145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1" fillId="3" borderId="6" xfId="0" applyFont="1" applyFill="1" applyBorder="1"/>
    <xf numFmtId="0" fontId="1" fillId="4" borderId="8" xfId="0" applyFont="1" applyFill="1" applyBorder="1"/>
    <xf numFmtId="0" fontId="2" fillId="5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1" fillId="8" borderId="6" xfId="0" applyFont="1" applyFill="1" applyBorder="1"/>
    <xf numFmtId="0" fontId="1" fillId="0" borderId="7" xfId="0" applyFont="1" applyBorder="1"/>
    <xf numFmtId="0" fontId="1" fillId="8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90" wrapText="1"/>
    </xf>
    <xf numFmtId="164" fontId="2" fillId="0" borderId="1" xfId="0" applyNumberFormat="1" applyFont="1" applyBorder="1" applyAlignment="1">
      <alignment horizontal="center" textRotation="90" wrapText="1"/>
    </xf>
    <xf numFmtId="2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6" fillId="0" borderId="0" xfId="1" applyFont="1"/>
    <xf numFmtId="0" fontId="6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9" fillId="0" borderId="1" xfId="1" applyFont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justify" vertical="center"/>
    </xf>
    <xf numFmtId="0" fontId="9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164" fontId="7" fillId="0" borderId="1" xfId="1" applyNumberFormat="1" applyFont="1" applyBorder="1" applyAlignment="1">
      <alignment horizontal="center" textRotation="90" wrapText="1"/>
    </xf>
    <xf numFmtId="0" fontId="7" fillId="0" borderId="1" xfId="1" applyFont="1" applyBorder="1" applyAlignment="1">
      <alignment horizontal="center" textRotation="90" wrapText="1"/>
    </xf>
    <xf numFmtId="0" fontId="7" fillId="0" borderId="1" xfId="1" applyFont="1" applyBorder="1" applyAlignment="1">
      <alignment horizontal="center" vertical="center" textRotation="90" wrapText="1"/>
    </xf>
    <xf numFmtId="0" fontId="7" fillId="10" borderId="1" xfId="1" applyFont="1" applyFill="1" applyBorder="1" applyAlignment="1">
      <alignment horizontal="center"/>
    </xf>
    <xf numFmtId="0" fontId="7" fillId="10" borderId="1" xfId="1" applyFont="1" applyFill="1" applyBorder="1"/>
    <xf numFmtId="2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vertical="center" wrapText="1"/>
    </xf>
    <xf numFmtId="0" fontId="7" fillId="6" borderId="2" xfId="1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/>
    </xf>
    <xf numFmtId="14" fontId="8" fillId="0" borderId="2" xfId="1" applyNumberFormat="1" applyFont="1" applyBorder="1" applyAlignment="1">
      <alignment horizontal="left"/>
    </xf>
    <xf numFmtId="0" fontId="8" fillId="0" borderId="10" xfId="1" applyFont="1" applyBorder="1" applyAlignment="1">
      <alignment horizontal="center" vertical="center" wrapText="1"/>
    </xf>
    <xf numFmtId="0" fontId="6" fillId="4" borderId="8" xfId="1" applyFont="1" applyFill="1" applyBorder="1"/>
    <xf numFmtId="0" fontId="8" fillId="0" borderId="7" xfId="1" applyFont="1" applyBorder="1" applyAlignment="1">
      <alignment horizontal="center" vertical="center" wrapText="1"/>
    </xf>
    <xf numFmtId="0" fontId="6" fillId="3" borderId="6" xfId="1" applyFont="1" applyFill="1" applyBorder="1"/>
    <xf numFmtId="0" fontId="6" fillId="0" borderId="2" xfId="1" applyFont="1" applyBorder="1"/>
    <xf numFmtId="0" fontId="8" fillId="0" borderId="5" xfId="1" applyFont="1" applyBorder="1" applyAlignment="1">
      <alignment horizontal="center" vertical="center"/>
    </xf>
    <xf numFmtId="0" fontId="6" fillId="2" borderId="4" xfId="1" applyFont="1" applyFill="1" applyBorder="1"/>
    <xf numFmtId="0" fontId="7" fillId="0" borderId="2" xfId="1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textRotation="90" wrapText="1"/>
    </xf>
    <xf numFmtId="166" fontId="6" fillId="0" borderId="2" xfId="2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wrapText="1"/>
    </xf>
    <xf numFmtId="0" fontId="1" fillId="11" borderId="0" xfId="0" applyFont="1" applyFill="1"/>
    <xf numFmtId="0" fontId="2" fillId="11" borderId="1" xfId="0" applyFont="1" applyFill="1" applyBorder="1" applyAlignment="1">
      <alignment horizontal="center" textRotation="90" wrapText="1"/>
    </xf>
    <xf numFmtId="0" fontId="2" fillId="0" borderId="12" xfId="0" applyFont="1" applyBorder="1" applyAlignment="1">
      <alignment wrapText="1"/>
    </xf>
    <xf numFmtId="0" fontId="1" fillId="0" borderId="12" xfId="0" applyFont="1" applyBorder="1"/>
    <xf numFmtId="14" fontId="3" fillId="0" borderId="12" xfId="0" applyNumberFormat="1" applyFont="1" applyBorder="1" applyAlignment="1">
      <alignment horizontal="left"/>
    </xf>
    <xf numFmtId="0" fontId="1" fillId="4" borderId="6" xfId="0" applyFont="1" applyFill="1" applyBorder="1"/>
    <xf numFmtId="0" fontId="1" fillId="0" borderId="8" xfId="0" applyFont="1" applyBorder="1"/>
    <xf numFmtId="0" fontId="2" fillId="1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2" fontId="1" fillId="11" borderId="7" xfId="0" applyNumberFormat="1" applyFont="1" applyFill="1" applyBorder="1" applyAlignment="1">
      <alignment horizontal="center"/>
    </xf>
    <xf numFmtId="2" fontId="1" fillId="11" borderId="7" xfId="0" applyNumberFormat="1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justify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66" fontId="7" fillId="10" borderId="2" xfId="1" applyNumberFormat="1" applyFont="1" applyFill="1" applyBorder="1" applyAlignment="1">
      <alignment horizontal="center" vertical="center"/>
    </xf>
    <xf numFmtId="2" fontId="7" fillId="10" borderId="2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7" fillId="10" borderId="2" xfId="1" applyFont="1" applyFill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7" fillId="10" borderId="1" xfId="1" applyFont="1" applyFill="1" applyBorder="1" applyAlignment="1">
      <alignment horizontal="center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vi-VN" b="1">
                <a:latin typeface="+mj-lt"/>
              </a:rPr>
              <a:t>SPRINT 1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039101894466693E-2"/>
          <c:y val="4.5436509299581485E-2"/>
          <c:w val="0.8899876311870123"/>
          <c:h val="0.68575500362578123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1'!$G$15:$W$15</c:f>
              <c:numCache>
                <c:formatCode>[$-1010000]d/m/yy;@</c:formatCode>
                <c:ptCount val="17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</c:numCache>
            </c:numRef>
          </c:cat>
          <c:val>
            <c:numRef>
              <c:f>'Sprint 1'!$G$90:$W$90</c:f>
              <c:numCache>
                <c:formatCode>General</c:formatCode>
                <c:ptCount val="17"/>
                <c:pt idx="0">
                  <c:v>160</c:v>
                </c:pt>
                <c:pt idx="1">
                  <c:v>152</c:v>
                </c:pt>
                <c:pt idx="2">
                  <c:v>140</c:v>
                </c:pt>
                <c:pt idx="3">
                  <c:v>130.5</c:v>
                </c:pt>
                <c:pt idx="4">
                  <c:v>120</c:v>
                </c:pt>
                <c:pt idx="5">
                  <c:v>112.5</c:v>
                </c:pt>
                <c:pt idx="6">
                  <c:v>100</c:v>
                </c:pt>
                <c:pt idx="7">
                  <c:v>90</c:v>
                </c:pt>
                <c:pt idx="8">
                  <c:v>82</c:v>
                </c:pt>
                <c:pt idx="9">
                  <c:v>70</c:v>
                </c:pt>
                <c:pt idx="10">
                  <c:v>60</c:v>
                </c:pt>
                <c:pt idx="11">
                  <c:v>49.5</c:v>
                </c:pt>
                <c:pt idx="12">
                  <c:v>40</c:v>
                </c:pt>
                <c:pt idx="13">
                  <c:v>29.5</c:v>
                </c:pt>
                <c:pt idx="14">
                  <c:v>20.5</c:v>
                </c:pt>
                <c:pt idx="15">
                  <c:v>12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E-447B-9788-E696D06154D0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1'!$G$15:$W$15</c:f>
              <c:numCache>
                <c:formatCode>[$-1010000]d/m/yy;@</c:formatCode>
                <c:ptCount val="17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</c:numCache>
            </c:numRef>
          </c:cat>
          <c:val>
            <c:numRef>
              <c:f>'Sprint 1'!$G$91:$W$91</c:f>
              <c:numCache>
                <c:formatCode>General</c:formatCode>
                <c:ptCount val="1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  <c:pt idx="7">
                  <c:v>90</c:v>
                </c:pt>
                <c:pt idx="8">
                  <c:v>80</c:v>
                </c:pt>
                <c:pt idx="9">
                  <c:v>70</c:v>
                </c:pt>
                <c:pt idx="10">
                  <c:v>60</c:v>
                </c:pt>
                <c:pt idx="11">
                  <c:v>50</c:v>
                </c:pt>
                <c:pt idx="12">
                  <c:v>40</c:v>
                </c:pt>
                <c:pt idx="13">
                  <c:v>30</c:v>
                </c:pt>
                <c:pt idx="14">
                  <c:v>20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E-447B-9788-E696D061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Ngày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010000]d/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CÔNG VIỆC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286500473034098E-2"/>
          <c:y val="0.88289705985400957"/>
          <c:w val="0.12611397490567042"/>
          <c:h val="0.10184216303755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vi-VN" b="1">
                <a:latin typeface="+mj-lt"/>
              </a:rPr>
              <a:t>SPRINT 2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70281438979498E-2"/>
          <c:y val="3.3433220578827541E-2"/>
          <c:w val="0.90746931795645824"/>
          <c:h val="0.76715829564753124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2'!$G$15:$W$15</c:f>
              <c:numCache>
                <c:formatCode>[$-1010000]d/m/yy;@</c:formatCode>
                <c:ptCount val="17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  <c:pt idx="16">
                  <c:v>46136</c:v>
                </c:pt>
              </c:numCache>
            </c:numRef>
          </c:cat>
          <c:val>
            <c:numRef>
              <c:f>'Sprint 2'!$G$71:$W$71</c:f>
              <c:numCache>
                <c:formatCode>General</c:formatCode>
                <c:ptCount val="17"/>
                <c:pt idx="0">
                  <c:v>160</c:v>
                </c:pt>
                <c:pt idx="1">
                  <c:v>149</c:v>
                </c:pt>
                <c:pt idx="2">
                  <c:v>140</c:v>
                </c:pt>
                <c:pt idx="3">
                  <c:v>132</c:v>
                </c:pt>
                <c:pt idx="4">
                  <c:v>120</c:v>
                </c:pt>
                <c:pt idx="5">
                  <c:v>111</c:v>
                </c:pt>
                <c:pt idx="6">
                  <c:v>100</c:v>
                </c:pt>
                <c:pt idx="7">
                  <c:v>90</c:v>
                </c:pt>
                <c:pt idx="8">
                  <c:v>81</c:v>
                </c:pt>
                <c:pt idx="9">
                  <c:v>70</c:v>
                </c:pt>
                <c:pt idx="10">
                  <c:v>60</c:v>
                </c:pt>
                <c:pt idx="11">
                  <c:v>51</c:v>
                </c:pt>
                <c:pt idx="12">
                  <c:v>40</c:v>
                </c:pt>
                <c:pt idx="13">
                  <c:v>30</c:v>
                </c:pt>
                <c:pt idx="14">
                  <c:v>20.5</c:v>
                </c:pt>
                <c:pt idx="15">
                  <c:v>11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C-4E84-9D81-FD5B7928D185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2'!$G$15:$W$15</c:f>
              <c:numCache>
                <c:formatCode>[$-1010000]d/m/yy;@</c:formatCode>
                <c:ptCount val="17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  <c:pt idx="16">
                  <c:v>46136</c:v>
                </c:pt>
              </c:numCache>
            </c:numRef>
          </c:cat>
          <c:val>
            <c:numRef>
              <c:f>'Sprint 2'!$G$72:$W$72</c:f>
              <c:numCache>
                <c:formatCode>General</c:formatCode>
                <c:ptCount val="1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  <c:pt idx="7">
                  <c:v>90</c:v>
                </c:pt>
                <c:pt idx="8">
                  <c:v>80</c:v>
                </c:pt>
                <c:pt idx="9">
                  <c:v>70</c:v>
                </c:pt>
                <c:pt idx="10">
                  <c:v>60</c:v>
                </c:pt>
                <c:pt idx="11">
                  <c:v>50</c:v>
                </c:pt>
                <c:pt idx="12">
                  <c:v>40</c:v>
                </c:pt>
                <c:pt idx="13">
                  <c:v>30</c:v>
                </c:pt>
                <c:pt idx="14">
                  <c:v>20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C-4E84-9D81-FD5B7928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NGÀY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010000]d/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SỐ LƯỢNG CÔNG VIỆC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888824898865878"/>
          <c:y val="0.9033165274214211"/>
          <c:w val="0.20009742643495523"/>
          <c:h val="4.6683153187632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latin typeface="+mj-lt"/>
              </a:rPr>
              <a:t>SPRINT 3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95448121693668E-2"/>
          <c:y val="8.1008889993122307E-2"/>
          <c:w val="0.88659512826793507"/>
          <c:h val="0.7427348205383028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3'!$G$15:$W$15</c:f>
              <c:numCache>
                <c:formatCode>[$-1010000]d/m/yy;@</c:formatCode>
                <c:ptCount val="17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</c:numCache>
            </c:numRef>
          </c:cat>
          <c:val>
            <c:numRef>
              <c:f>'Sprint 3'!$G$69:$W$69</c:f>
              <c:numCache>
                <c:formatCode>General</c:formatCode>
                <c:ptCount val="1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130.5</c:v>
                </c:pt>
                <c:pt idx="4">
                  <c:v>120</c:v>
                </c:pt>
                <c:pt idx="5">
                  <c:v>110.5</c:v>
                </c:pt>
                <c:pt idx="6">
                  <c:v>100</c:v>
                </c:pt>
                <c:pt idx="7">
                  <c:v>91</c:v>
                </c:pt>
                <c:pt idx="8">
                  <c:v>82.5</c:v>
                </c:pt>
                <c:pt idx="9">
                  <c:v>70</c:v>
                </c:pt>
                <c:pt idx="10">
                  <c:v>60</c:v>
                </c:pt>
                <c:pt idx="11">
                  <c:v>51</c:v>
                </c:pt>
                <c:pt idx="12">
                  <c:v>40</c:v>
                </c:pt>
                <c:pt idx="13">
                  <c:v>31.5</c:v>
                </c:pt>
                <c:pt idx="14">
                  <c:v>21</c:v>
                </c:pt>
                <c:pt idx="15">
                  <c:v>9.5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8-4638-9CBB-FE1D2143ED7C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3'!$G$15:$W$15</c:f>
              <c:numCache>
                <c:formatCode>[$-1010000]d/m/yy;@</c:formatCode>
                <c:ptCount val="17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</c:numCache>
            </c:numRef>
          </c:cat>
          <c:val>
            <c:numRef>
              <c:f>'Sprint 3'!$G$70:$W$70</c:f>
              <c:numCache>
                <c:formatCode>General</c:formatCode>
                <c:ptCount val="1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  <c:pt idx="7">
                  <c:v>91</c:v>
                </c:pt>
                <c:pt idx="8">
                  <c:v>80</c:v>
                </c:pt>
                <c:pt idx="9">
                  <c:v>70</c:v>
                </c:pt>
                <c:pt idx="10">
                  <c:v>60</c:v>
                </c:pt>
                <c:pt idx="11">
                  <c:v>50</c:v>
                </c:pt>
                <c:pt idx="12">
                  <c:v>40</c:v>
                </c:pt>
                <c:pt idx="13">
                  <c:v>30</c:v>
                </c:pt>
                <c:pt idx="14">
                  <c:v>20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8-4638-9CBB-FE1D2143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NGÀY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010000]d/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SỐ LƯỢNG CÔNG VIỆC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25249008310992E-2"/>
          <c:y val="0.9350251414204902"/>
          <c:w val="0.21408554271809918"/>
          <c:h val="4.4078520868366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cd8486-111a-4fa0-8b9d-c7f56e2611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472109</xdr:colOff>
      <xdr:row>91</xdr:row>
      <xdr:rowOff>123056</xdr:rowOff>
    </xdr:from>
    <xdr:to>
      <xdr:col>23</xdr:col>
      <xdr:colOff>16565</xdr:colOff>
      <xdr:row>111</xdr:row>
      <xdr:rowOff>24848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701365-40A1-4056-9783-C5326FA6C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28063</xdr:colOff>
      <xdr:row>72</xdr:row>
      <xdr:rowOff>114481</xdr:rowOff>
    </xdr:from>
    <xdr:to>
      <xdr:col>22</xdr:col>
      <xdr:colOff>551915</xdr:colOff>
      <xdr:row>93</xdr:row>
      <xdr:rowOff>187090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01365-40A1-4056-9783-C5326FA6C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467724</xdr:colOff>
      <xdr:row>70</xdr:row>
      <xdr:rowOff>170611</xdr:rowOff>
    </xdr:from>
    <xdr:to>
      <xdr:col>22</xdr:col>
      <xdr:colOff>319028</xdr:colOff>
      <xdr:row>93</xdr:row>
      <xdr:rowOff>84189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07DFB-C766-4814-9DA7-C07DF3EB5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opLeftCell="D15" zoomScale="96" zoomScaleNormal="96" workbookViewId="0">
      <pane ySplit="1" topLeftCell="A90" activePane="bottomLeft" state="frozen"/>
      <selection activeCell="D15" sqref="D15"/>
      <selection pane="bottomLeft" activeCell="Y100" sqref="Y100"/>
    </sheetView>
  </sheetViews>
  <sheetFormatPr defaultColWidth="9.109375" defaultRowHeight="16.899999999999999" x14ac:dyDescent="0.3"/>
  <cols>
    <col min="1" max="1" width="16" style="1" customWidth="1"/>
    <col min="2" max="2" width="20.33203125" style="1" customWidth="1"/>
    <col min="3" max="3" width="49.88671875" style="1" bestFit="1" customWidth="1"/>
    <col min="4" max="4" width="22.33203125" style="1" customWidth="1"/>
    <col min="5" max="5" width="18.109375" style="32" bestFit="1" customWidth="1"/>
    <col min="6" max="6" width="6.6640625" style="1" customWidth="1"/>
    <col min="7" max="7" width="5.6640625" style="1" bestFit="1" customWidth="1"/>
    <col min="8" max="8" width="5.5546875" style="1" customWidth="1"/>
    <col min="9" max="9" width="6" style="1" customWidth="1"/>
    <col min="10" max="10" width="7.88671875" style="1" customWidth="1"/>
    <col min="11" max="11" width="4.6640625" style="1" bestFit="1" customWidth="1"/>
    <col min="12" max="12" width="7.109375" style="1" bestFit="1" customWidth="1"/>
    <col min="13" max="13" width="4.6640625" style="1" bestFit="1" customWidth="1"/>
    <col min="14" max="14" width="4.88671875" style="1" bestFit="1" customWidth="1"/>
    <col min="15" max="15" width="7.88671875" style="1" bestFit="1" customWidth="1"/>
    <col min="16" max="17" width="4.88671875" style="1" bestFit="1" customWidth="1"/>
    <col min="18" max="18" width="6.21875" style="1" bestFit="1" customWidth="1"/>
    <col min="19" max="19" width="4.88671875" style="1" bestFit="1" customWidth="1"/>
    <col min="20" max="20" width="6.21875" style="1" bestFit="1" customWidth="1"/>
    <col min="21" max="21" width="5.88671875" style="1" bestFit="1" customWidth="1"/>
    <col min="22" max="23" width="4.5546875" style="1" bestFit="1" customWidth="1"/>
    <col min="24" max="24" width="9.109375" style="1" customWidth="1"/>
    <col min="25" max="16384" width="9.109375" style="1"/>
  </cols>
  <sheetData>
    <row r="1" spans="1:23" ht="51.35" thickBot="1" x14ac:dyDescent="0.35">
      <c r="A1" s="130" t="s">
        <v>3</v>
      </c>
      <c r="B1" s="130"/>
      <c r="C1" s="20" t="s">
        <v>36</v>
      </c>
      <c r="D1" s="6"/>
      <c r="E1" s="29" t="s">
        <v>34</v>
      </c>
    </row>
    <row r="2" spans="1:23" ht="17.55" thickBot="1" x14ac:dyDescent="0.35">
      <c r="A2" s="130" t="s">
        <v>2</v>
      </c>
      <c r="B2" s="130"/>
      <c r="C2" s="2" t="s">
        <v>4</v>
      </c>
      <c r="D2" s="7"/>
      <c r="E2" s="30" t="s">
        <v>33</v>
      </c>
    </row>
    <row r="3" spans="1:23" ht="17.55" thickBot="1" x14ac:dyDescent="0.35">
      <c r="A3" s="130" t="s">
        <v>1</v>
      </c>
      <c r="B3" s="130"/>
      <c r="C3" s="21" t="s">
        <v>37</v>
      </c>
      <c r="D3" s="8"/>
      <c r="E3" s="31" t="s">
        <v>32</v>
      </c>
    </row>
    <row r="4" spans="1:23" ht="17.25" customHeight="1" thickBot="1" x14ac:dyDescent="0.35">
      <c r="A4" s="130" t="s">
        <v>0</v>
      </c>
      <c r="B4" s="130"/>
      <c r="C4" s="21">
        <v>46207</v>
      </c>
    </row>
    <row r="5" spans="1:23" ht="16.45" customHeight="1" thickBot="1" x14ac:dyDescent="0.35"/>
    <row r="6" spans="1:23" ht="17.55" thickBot="1" x14ac:dyDescent="0.35">
      <c r="B6" s="131" t="s">
        <v>5</v>
      </c>
      <c r="C6" s="131"/>
      <c r="D6" s="131"/>
    </row>
    <row r="7" spans="1:23" ht="17.55" thickBot="1" x14ac:dyDescent="0.35">
      <c r="B7" s="4" t="s">
        <v>6</v>
      </c>
      <c r="C7" s="4" t="s">
        <v>29</v>
      </c>
      <c r="D7" s="4" t="s">
        <v>11</v>
      </c>
      <c r="E7" s="28" t="s">
        <v>28</v>
      </c>
    </row>
    <row r="8" spans="1:23" ht="17.55" thickBot="1" x14ac:dyDescent="0.35">
      <c r="B8" s="5">
        <v>1</v>
      </c>
      <c r="C8" s="25" t="s">
        <v>39</v>
      </c>
      <c r="D8" s="46" cm="1">
        <f t="array" ref="D8">SUMPRODUCT(
 ISNUMBER(SEARCH("All Team",D16:D89))*(E16:E89/5)
 +
 ISNUMBER(SEARCH("Dũng",D16:D89))*
 E16:E89/(LEN(D16:D89)-LEN(SUBSTITUTE(D16:D89,",",""))+1)
)</f>
        <v>35.299999999999997</v>
      </c>
      <c r="E8" s="46" cm="1">
        <f t="array" ref="E8">SUMPRODUCT(
 ISNUMBER(SEARCH("All Team",D16:D89))*(F16:F89/5)
 +
 ISNUMBER(SEARCH("Dũng",D16:D89))*
 F16:F89/(LEN(D16:D89)-LEN(SUBSTITUTE(D16:D89,",",""))+1)
)</f>
        <v>35.299999999999997</v>
      </c>
    </row>
    <row r="9" spans="1:23" ht="17.55" thickBot="1" x14ac:dyDescent="0.35">
      <c r="B9" s="5">
        <v>2</v>
      </c>
      <c r="C9" s="25" t="s">
        <v>40</v>
      </c>
      <c r="D9" s="47" cm="1">
        <f t="array" ref="D9">SUMPRODUCT(
 ISNUMBER(SEARCH("All Team",D16:D89))*(E16:E89/5)
 +
 ISNUMBER(SEARCH("Hằng",D16:D89))*
 E16:E89/(LEN(D16:D89)-LEN(SUBSTITUTE(D16:D89,",",""))+1)
)</f>
        <v>34.799999999999997</v>
      </c>
      <c r="E9" s="47" cm="1">
        <f t="array" ref="E9">SUMPRODUCT(
 ISNUMBER(SEARCH("All Team",D16:D89))*(F16:F89/5)
 +
 ISNUMBER(SEARCH("Hằng",D16:D89))*
 F16:F89/(LEN(D16:D89)-LEN(SUBSTITUTE(D16:D89,",",""))+1)
)</f>
        <v>31.799999999999997</v>
      </c>
    </row>
    <row r="10" spans="1:23" ht="17.55" thickBot="1" x14ac:dyDescent="0.35">
      <c r="B10" s="5">
        <v>3</v>
      </c>
      <c r="C10" s="25" t="s">
        <v>41</v>
      </c>
      <c r="D10" s="47" cm="1">
        <f t="array" ref="D10">SUMPRODUCT(
 ISNUMBER(SEARCH("All Team",D16:D89))*(E16:E89/5)
 +
 ISNUMBER(SEARCH("Hoàng",D16:D89))*
 E16:E89/(LEN(D16:D89)-LEN(SUBSTITUTE(D16:D89,",",""))+1)
)</f>
        <v>36.299999999999997</v>
      </c>
      <c r="E10" s="47" cm="1">
        <f t="array" ref="E10">SUMPRODUCT(
 ISNUMBER(SEARCH("All Team",D16:D89))*(F16:F89/5)
 +
 ISNUMBER(SEARCH("Hoàng",D16:D89))*
 F16:F89/(LEN(D16:D89)-LEN(SUBSTITUTE(D16:D89,",",""))+1)
)</f>
        <v>34.299999999999997</v>
      </c>
    </row>
    <row r="11" spans="1:23" ht="17.55" thickBot="1" x14ac:dyDescent="0.35">
      <c r="B11" s="5">
        <v>4</v>
      </c>
      <c r="C11" s="25" t="s">
        <v>42</v>
      </c>
      <c r="D11" s="47" cm="1">
        <f t="array" ref="D11">SUMPRODUCT(
 ISNUMBER(SEARCH("All Team",D16:D89))*(E16:E89/5)
 +
 ISNUMBER(SEARCH("Nguyên",D16:D89))*
 E16:E89/(LEN(D16:D89)-LEN(SUBSTITUTE(D16:D89,",",""))+1)
)</f>
        <v>36.799999999999997</v>
      </c>
      <c r="E11" s="47" cm="1">
        <f t="array" ref="E11">SUMPRODUCT(
 ISNUMBER(SEARCH("All Team",D16:D89))*(F16:F89/5)
 +
 ISNUMBER(SEARCH("Nguyên",D16:D89))*
 F16:F89/(LEN(D16:D89)-LEN(SUBSTITUTE(D16:D89,",",""))+1)
)</f>
        <v>33.799999999999997</v>
      </c>
    </row>
    <row r="12" spans="1:23" ht="17.55" thickBot="1" x14ac:dyDescent="0.35">
      <c r="B12" s="5">
        <v>5</v>
      </c>
      <c r="C12" s="24" t="s">
        <v>38</v>
      </c>
      <c r="D12" s="47" cm="1">
        <f t="array" ref="D12">SUMPRODUCT(
 ISNUMBER(SEARCH("All Team",D16:D89))*(E16:E89/5)
 +
 ISNUMBER(SEARCH("Nhi",D16:D89))*
 E16:E89/(LEN(D16:D89)-LEN(SUBSTITUTE(D16:D89,",",""))+1)
)</f>
        <v>35.299999999999997</v>
      </c>
      <c r="E12" s="47" cm="1">
        <f t="array" ref="E12">SUMPRODUCT(
 ISNUMBER(SEARCH("All Team",D16:D89))*(F16:F89/5)
 +
 ISNUMBER(SEARCH("Nhi",D16:D89))*
 F16:F89/(LEN(D16:D89)-LEN(SUBSTITUTE(D16:D89,",",""))+1)
)</f>
        <v>34.799999999999997</v>
      </c>
    </row>
    <row r="13" spans="1:23" ht="17.55" thickBot="1" x14ac:dyDescent="0.35">
      <c r="B13" s="131" t="s">
        <v>12</v>
      </c>
      <c r="C13" s="131"/>
      <c r="D13" s="3">
        <f>SUM(D8:D12)</f>
        <v>178.5</v>
      </c>
      <c r="E13" s="33">
        <f>SUM(E8:E12)</f>
        <v>170</v>
      </c>
    </row>
    <row r="15" spans="1:23" ht="62.3" customHeight="1" x14ac:dyDescent="0.3">
      <c r="A15" s="9" t="s">
        <v>7</v>
      </c>
      <c r="B15" s="9" t="s">
        <v>8</v>
      </c>
      <c r="C15" s="23" t="s">
        <v>9</v>
      </c>
      <c r="D15" s="23" t="s">
        <v>10</v>
      </c>
      <c r="E15" s="34" t="s">
        <v>11</v>
      </c>
      <c r="F15" s="44" t="s">
        <v>28</v>
      </c>
      <c r="G15" s="84">
        <v>46103</v>
      </c>
      <c r="H15" s="84">
        <v>46104</v>
      </c>
      <c r="I15" s="84">
        <v>46105</v>
      </c>
      <c r="J15" s="84">
        <v>46106</v>
      </c>
      <c r="K15" s="84">
        <v>46107</v>
      </c>
      <c r="L15" s="84">
        <v>46108</v>
      </c>
      <c r="M15" s="84">
        <v>46109</v>
      </c>
      <c r="N15" s="84">
        <v>46110</v>
      </c>
      <c r="O15" s="84">
        <v>46111</v>
      </c>
      <c r="P15" s="84">
        <v>46112</v>
      </c>
      <c r="Q15" s="84">
        <v>46113</v>
      </c>
      <c r="R15" s="84">
        <v>46114</v>
      </c>
      <c r="S15" s="84">
        <v>46115</v>
      </c>
      <c r="T15" s="84">
        <v>46116</v>
      </c>
      <c r="U15" s="84">
        <v>46117</v>
      </c>
      <c r="V15" s="84">
        <v>46118</v>
      </c>
      <c r="W15" s="84">
        <v>46119</v>
      </c>
    </row>
    <row r="16" spans="1:23" x14ac:dyDescent="0.3">
      <c r="A16" s="129" t="s">
        <v>4</v>
      </c>
      <c r="B16" s="132" t="s">
        <v>13</v>
      </c>
      <c r="C16" s="132"/>
      <c r="D16" s="37" t="s">
        <v>64</v>
      </c>
      <c r="E16" s="36">
        <f>IF(NOT(ISNUMBER(F16)),0,
   IF(NOT(ISNUMBER(F17)),
      F16 + IFERROR(INDEX(H17:Z17, MATCH(0, G16:Z16, 0)), 0),
      F16
   )
)</f>
        <v>6</v>
      </c>
      <c r="F16" s="36">
        <v>6</v>
      </c>
      <c r="G16" s="39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</row>
    <row r="17" spans="1:23" x14ac:dyDescent="0.3">
      <c r="A17" s="129"/>
      <c r="B17" s="132" t="s">
        <v>14</v>
      </c>
      <c r="C17" s="132"/>
      <c r="D17" s="36" t="s">
        <v>76</v>
      </c>
      <c r="E17" s="36">
        <f>IF(NOT(ISNUMBER(F17)),0,
   IF(NOT(ISNUMBER(F18)),
      F17 + IFERROR(INDEX(G18:Z18, MATCH(0, H17:Z17, 0)), 0),
      F17
   )
)</f>
        <v>7</v>
      </c>
      <c r="F17" s="36">
        <v>7</v>
      </c>
      <c r="G17" s="32">
        <v>5</v>
      </c>
      <c r="H17" s="39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1:23" x14ac:dyDescent="0.3">
      <c r="A18" s="129"/>
      <c r="B18" s="132" t="s">
        <v>15</v>
      </c>
      <c r="C18" s="132"/>
      <c r="D18" s="37" t="s">
        <v>69</v>
      </c>
      <c r="E18" s="36">
        <f>IF(NOT(ISNUMBER(F18)),0,
   IF(NOT(ISNUMBER(F19)),
      F18 + IFERROR(INDEX(G19:Z19, MATCH(0, G18:Z18, 0)), 0),
      F18
   )
)</f>
        <v>9</v>
      </c>
      <c r="F18" s="36">
        <v>7</v>
      </c>
      <c r="G18" s="36">
        <v>5</v>
      </c>
      <c r="H18" s="39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 x14ac:dyDescent="0.3">
      <c r="A19" s="129"/>
      <c r="B19" s="22"/>
      <c r="C19" s="22"/>
      <c r="D19" s="37"/>
      <c r="E19" s="36">
        <f t="shared" ref="E19:E81" si="0">IF(NOT(ISNUMBER(F19)),0,
   IF(NOT(ISNUMBER(F20)),
      F19 + IFERROR(INDEX(G20:Z20, MATCH(0, G19:Z19, 0)), 0),
      F19
   )
)</f>
        <v>0</v>
      </c>
      <c r="F19" s="36"/>
      <c r="G19" s="36"/>
      <c r="H19" s="40">
        <v>2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s="129"/>
      <c r="B20" s="129" t="s">
        <v>16</v>
      </c>
      <c r="C20" s="26" t="s">
        <v>43</v>
      </c>
      <c r="D20" s="36" t="s">
        <v>65</v>
      </c>
      <c r="E20" s="36">
        <f t="shared" si="0"/>
        <v>2</v>
      </c>
      <c r="F20" s="36">
        <v>2</v>
      </c>
      <c r="G20" s="36">
        <v>2</v>
      </c>
      <c r="H20" s="36">
        <v>2</v>
      </c>
      <c r="I20" s="12">
        <v>1</v>
      </c>
      <c r="J20" s="39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</row>
    <row r="21" spans="1:23" x14ac:dyDescent="0.3">
      <c r="A21" s="129"/>
      <c r="B21" s="129"/>
      <c r="C21" s="26" t="s">
        <v>44</v>
      </c>
      <c r="D21" s="36" t="s">
        <v>65</v>
      </c>
      <c r="E21" s="36">
        <f t="shared" si="0"/>
        <v>2</v>
      </c>
      <c r="F21" s="36">
        <v>2</v>
      </c>
      <c r="G21" s="36">
        <v>2</v>
      </c>
      <c r="H21" s="36">
        <v>2</v>
      </c>
      <c r="I21" s="12">
        <v>1</v>
      </c>
      <c r="J21" s="39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 x14ac:dyDescent="0.3">
      <c r="A22" s="129"/>
      <c r="B22" s="129"/>
      <c r="C22" s="26" t="s">
        <v>117</v>
      </c>
      <c r="D22" s="36" t="s">
        <v>35</v>
      </c>
      <c r="E22" s="36">
        <f t="shared" si="0"/>
        <v>2</v>
      </c>
      <c r="F22" s="36">
        <v>2</v>
      </c>
      <c r="G22" s="36">
        <v>2</v>
      </c>
      <c r="H22" s="36">
        <v>2</v>
      </c>
      <c r="I22" s="12">
        <v>1</v>
      </c>
      <c r="J22" s="39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</row>
    <row r="23" spans="1:23" x14ac:dyDescent="0.3">
      <c r="A23" s="129"/>
      <c r="B23" s="129"/>
      <c r="C23" s="26" t="s">
        <v>45</v>
      </c>
      <c r="D23" s="36" t="s">
        <v>35</v>
      </c>
      <c r="E23" s="36">
        <f t="shared" si="0"/>
        <v>2</v>
      </c>
      <c r="F23" s="36">
        <v>2</v>
      </c>
      <c r="G23" s="36">
        <v>2</v>
      </c>
      <c r="H23" s="36">
        <v>2</v>
      </c>
      <c r="I23" s="12">
        <v>1</v>
      </c>
      <c r="J23" s="39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</row>
    <row r="24" spans="1:23" x14ac:dyDescent="0.3">
      <c r="A24" s="129"/>
      <c r="B24" s="129"/>
      <c r="C24" s="26" t="s">
        <v>46</v>
      </c>
      <c r="D24" s="36" t="s">
        <v>66</v>
      </c>
      <c r="E24" s="36">
        <f t="shared" si="0"/>
        <v>1.5</v>
      </c>
      <c r="F24" s="37">
        <v>2</v>
      </c>
      <c r="G24" s="37">
        <v>2</v>
      </c>
      <c r="H24" s="37">
        <v>2</v>
      </c>
      <c r="I24" s="12">
        <v>1</v>
      </c>
      <c r="J24" s="39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x14ac:dyDescent="0.3">
      <c r="A25" s="129"/>
      <c r="B25" s="129"/>
      <c r="C25" s="26"/>
      <c r="D25" s="36"/>
      <c r="E25" s="36">
        <f t="shared" si="0"/>
        <v>0</v>
      </c>
      <c r="F25" s="37"/>
      <c r="G25" s="37"/>
      <c r="H25" s="37"/>
      <c r="I25" s="12"/>
      <c r="J25" s="119">
        <v>-0.5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3">
      <c r="A26" s="129"/>
      <c r="B26" s="129"/>
      <c r="C26" s="26" t="s">
        <v>47</v>
      </c>
      <c r="D26" s="36" t="s">
        <v>67</v>
      </c>
      <c r="E26" s="36">
        <f t="shared" si="0"/>
        <v>2</v>
      </c>
      <c r="F26" s="37">
        <v>2</v>
      </c>
      <c r="G26" s="37">
        <v>2</v>
      </c>
      <c r="H26" s="37">
        <v>2</v>
      </c>
      <c r="I26" s="12">
        <v>1</v>
      </c>
      <c r="J26" s="39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</row>
    <row r="27" spans="1:23" ht="33.85" x14ac:dyDescent="0.3">
      <c r="A27" s="129"/>
      <c r="B27" s="129"/>
      <c r="C27" s="26" t="s">
        <v>48</v>
      </c>
      <c r="D27" s="36" t="s">
        <v>68</v>
      </c>
      <c r="E27" s="36">
        <f t="shared" si="0"/>
        <v>3</v>
      </c>
      <c r="F27" s="37">
        <v>2</v>
      </c>
      <c r="G27" s="37">
        <v>2</v>
      </c>
      <c r="H27" s="37">
        <v>2</v>
      </c>
      <c r="I27" s="12">
        <v>1</v>
      </c>
      <c r="J27" s="39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</row>
    <row r="28" spans="1:23" x14ac:dyDescent="0.3">
      <c r="A28" s="129"/>
      <c r="B28" s="129"/>
      <c r="C28" s="26"/>
      <c r="D28" s="36"/>
      <c r="E28" s="36">
        <f t="shared" si="0"/>
        <v>0</v>
      </c>
      <c r="F28" s="37"/>
      <c r="G28" s="37"/>
      <c r="H28" s="37"/>
      <c r="I28" s="12"/>
      <c r="J28" s="40">
        <v>1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3">
      <c r="A29" s="129"/>
      <c r="B29" s="129"/>
      <c r="C29" s="27" t="s">
        <v>49</v>
      </c>
      <c r="D29" s="37" t="s">
        <v>64</v>
      </c>
      <c r="E29" s="36">
        <f t="shared" si="0"/>
        <v>6</v>
      </c>
      <c r="F29" s="37">
        <v>6</v>
      </c>
      <c r="G29" s="37">
        <v>6</v>
      </c>
      <c r="H29" s="37">
        <v>6</v>
      </c>
      <c r="I29" s="37">
        <v>3</v>
      </c>
      <c r="J29" s="39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</row>
    <row r="30" spans="1:23" x14ac:dyDescent="0.3">
      <c r="A30" s="129"/>
      <c r="B30" s="129" t="s">
        <v>17</v>
      </c>
      <c r="C30" s="26" t="s">
        <v>43</v>
      </c>
      <c r="D30" s="36" t="s">
        <v>66</v>
      </c>
      <c r="E30" s="36">
        <f t="shared" si="0"/>
        <v>2</v>
      </c>
      <c r="F30" s="36">
        <v>2</v>
      </c>
      <c r="G30" s="36">
        <v>2</v>
      </c>
      <c r="H30" s="36">
        <v>2</v>
      </c>
      <c r="I30" s="36">
        <v>2</v>
      </c>
      <c r="J30" s="36">
        <v>2</v>
      </c>
      <c r="K30" s="36">
        <v>1</v>
      </c>
      <c r="L30" s="39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</row>
    <row r="31" spans="1:23" x14ac:dyDescent="0.3">
      <c r="A31" s="129"/>
      <c r="B31" s="129"/>
      <c r="C31" s="26" t="s">
        <v>44</v>
      </c>
      <c r="D31" s="36" t="s">
        <v>66</v>
      </c>
      <c r="E31" s="36">
        <f t="shared" si="0"/>
        <v>2</v>
      </c>
      <c r="F31" s="36">
        <v>2</v>
      </c>
      <c r="G31" s="36">
        <v>2</v>
      </c>
      <c r="H31" s="36">
        <v>2</v>
      </c>
      <c r="I31" s="36">
        <v>2</v>
      </c>
      <c r="J31" s="36">
        <v>2</v>
      </c>
      <c r="K31" s="36">
        <v>1</v>
      </c>
      <c r="L31" s="39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x14ac:dyDescent="0.3">
      <c r="A32" s="129"/>
      <c r="B32" s="129"/>
      <c r="C32" s="26" t="s">
        <v>117</v>
      </c>
      <c r="D32" s="36" t="s">
        <v>68</v>
      </c>
      <c r="E32" s="36">
        <f t="shared" si="0"/>
        <v>1.5</v>
      </c>
      <c r="F32" s="36">
        <v>2</v>
      </c>
      <c r="G32" s="36">
        <v>2</v>
      </c>
      <c r="H32" s="36">
        <v>2</v>
      </c>
      <c r="I32" s="36">
        <v>2</v>
      </c>
      <c r="J32" s="36">
        <v>2</v>
      </c>
      <c r="K32" s="36">
        <v>1</v>
      </c>
      <c r="L32" s="39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</row>
    <row r="33" spans="1:23" x14ac:dyDescent="0.3">
      <c r="A33" s="129"/>
      <c r="B33" s="129"/>
      <c r="C33" s="26"/>
      <c r="D33" s="36"/>
      <c r="E33" s="36">
        <f t="shared" si="0"/>
        <v>0</v>
      </c>
      <c r="F33" s="36"/>
      <c r="G33" s="36"/>
      <c r="H33" s="36"/>
      <c r="I33" s="36"/>
      <c r="K33" s="12"/>
      <c r="L33" s="41">
        <v>-0.5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3">
      <c r="A34" s="129"/>
      <c r="B34" s="129"/>
      <c r="C34" s="26" t="s">
        <v>45</v>
      </c>
      <c r="D34" s="36" t="s">
        <v>68</v>
      </c>
      <c r="E34" s="36">
        <f t="shared" si="0"/>
        <v>2</v>
      </c>
      <c r="F34" s="36">
        <v>2</v>
      </c>
      <c r="G34" s="36">
        <v>2</v>
      </c>
      <c r="H34" s="36">
        <v>2</v>
      </c>
      <c r="I34" s="36">
        <v>2</v>
      </c>
      <c r="J34" s="36">
        <v>2</v>
      </c>
      <c r="K34" s="36">
        <v>1</v>
      </c>
      <c r="L34" s="39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 x14ac:dyDescent="0.3">
      <c r="A35" s="129"/>
      <c r="B35" s="129"/>
      <c r="C35" s="26" t="s">
        <v>46</v>
      </c>
      <c r="D35" s="36" t="s">
        <v>67</v>
      </c>
      <c r="E35" s="36">
        <f t="shared" si="0"/>
        <v>4</v>
      </c>
      <c r="F35" s="36">
        <v>2</v>
      </c>
      <c r="G35" s="36">
        <v>2</v>
      </c>
      <c r="H35" s="36">
        <v>2</v>
      </c>
      <c r="I35" s="36">
        <v>2</v>
      </c>
      <c r="J35" s="36">
        <v>2</v>
      </c>
      <c r="K35" s="36">
        <v>1</v>
      </c>
      <c r="L35" s="39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</row>
    <row r="36" spans="1:23" x14ac:dyDescent="0.3">
      <c r="A36" s="129"/>
      <c r="B36" s="129"/>
      <c r="C36" s="26"/>
      <c r="D36" s="36"/>
      <c r="E36" s="36">
        <f t="shared" si="0"/>
        <v>0</v>
      </c>
      <c r="F36" s="36"/>
      <c r="G36" s="36"/>
      <c r="H36" s="36"/>
      <c r="I36" s="36"/>
      <c r="J36" s="36"/>
      <c r="K36" s="36"/>
      <c r="L36" s="40">
        <v>2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3">
      <c r="A37" s="129"/>
      <c r="B37" s="129"/>
      <c r="C37" s="26" t="s">
        <v>47</v>
      </c>
      <c r="D37" s="36" t="s">
        <v>65</v>
      </c>
      <c r="E37" s="36">
        <f t="shared" si="0"/>
        <v>2</v>
      </c>
      <c r="F37" s="36">
        <v>2</v>
      </c>
      <c r="G37" s="36">
        <v>2</v>
      </c>
      <c r="H37" s="36">
        <v>2</v>
      </c>
      <c r="I37" s="36">
        <v>2</v>
      </c>
      <c r="J37" s="36">
        <v>2</v>
      </c>
      <c r="K37" s="36">
        <v>1</v>
      </c>
      <c r="L37" s="39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</row>
    <row r="38" spans="1:23" ht="33.85" x14ac:dyDescent="0.3">
      <c r="A38" s="129"/>
      <c r="B38" s="129"/>
      <c r="C38" s="26" t="s">
        <v>48</v>
      </c>
      <c r="D38" s="36" t="s">
        <v>35</v>
      </c>
      <c r="E38" s="36">
        <f t="shared" si="0"/>
        <v>3</v>
      </c>
      <c r="F38" s="36">
        <v>2</v>
      </c>
      <c r="G38" s="37">
        <v>2</v>
      </c>
      <c r="H38" s="12">
        <v>2</v>
      </c>
      <c r="I38" s="12">
        <v>2</v>
      </c>
      <c r="J38" s="12">
        <v>2</v>
      </c>
      <c r="K38" s="12">
        <v>1</v>
      </c>
      <c r="L38" s="39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</row>
    <row r="39" spans="1:23" x14ac:dyDescent="0.3">
      <c r="A39" s="129"/>
      <c r="B39" s="129"/>
      <c r="C39" s="26"/>
      <c r="D39" s="36"/>
      <c r="E39" s="36">
        <f t="shared" si="0"/>
        <v>0</v>
      </c>
      <c r="F39" s="37"/>
      <c r="G39" s="37"/>
      <c r="H39" s="12"/>
      <c r="I39" s="12"/>
      <c r="J39" s="12"/>
      <c r="K39" s="12"/>
      <c r="L39" s="40">
        <v>1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3">
      <c r="A40" s="129"/>
      <c r="B40" s="129"/>
      <c r="C40" s="27" t="s">
        <v>50</v>
      </c>
      <c r="D40" s="37" t="s">
        <v>64</v>
      </c>
      <c r="E40" s="36">
        <f t="shared" si="0"/>
        <v>6</v>
      </c>
      <c r="F40" s="36">
        <v>6</v>
      </c>
      <c r="G40" s="36">
        <v>6</v>
      </c>
      <c r="H40" s="36">
        <v>6</v>
      </c>
      <c r="I40" s="36">
        <v>6</v>
      </c>
      <c r="J40" s="36">
        <v>6</v>
      </c>
      <c r="K40" s="36">
        <v>3</v>
      </c>
      <c r="L40" s="39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</row>
    <row r="41" spans="1:23" x14ac:dyDescent="0.3">
      <c r="A41" s="129"/>
      <c r="B41" s="129" t="s">
        <v>18</v>
      </c>
      <c r="C41" s="35" t="s">
        <v>51</v>
      </c>
      <c r="D41" s="36" t="s">
        <v>65</v>
      </c>
      <c r="E41" s="36">
        <f>IF(NOT(ISNUMBER(F41)),0,
   IF(NOT(ISNUMBER(#REF!)),
      F41 + IFERROR(INDEX(#REF!, MATCH(0, G41:Z41, 0)), 0),
      F41
   )
)</f>
        <v>4</v>
      </c>
      <c r="F41" s="37">
        <v>4</v>
      </c>
      <c r="G41" s="37">
        <v>4</v>
      </c>
      <c r="H41" s="37">
        <v>4</v>
      </c>
      <c r="I41" s="37">
        <v>4</v>
      </c>
      <c r="J41" s="37">
        <v>4</v>
      </c>
      <c r="K41" s="37">
        <v>4</v>
      </c>
      <c r="L41" s="37">
        <v>4</v>
      </c>
      <c r="M41" s="37">
        <v>2</v>
      </c>
      <c r="N41" s="37">
        <v>1</v>
      </c>
      <c r="O41" s="39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</row>
    <row r="42" spans="1:23" x14ac:dyDescent="0.3">
      <c r="A42" s="129"/>
      <c r="B42" s="129"/>
      <c r="C42" s="35" t="s">
        <v>52</v>
      </c>
      <c r="D42" s="36" t="s">
        <v>65</v>
      </c>
      <c r="E42" s="36">
        <f t="shared" si="0"/>
        <v>4</v>
      </c>
      <c r="F42" s="37">
        <v>4</v>
      </c>
      <c r="G42" s="37">
        <v>4</v>
      </c>
      <c r="H42" s="37">
        <v>4</v>
      </c>
      <c r="I42" s="37">
        <v>4</v>
      </c>
      <c r="J42" s="37">
        <v>4</v>
      </c>
      <c r="K42" s="37">
        <v>4</v>
      </c>
      <c r="L42" s="37">
        <v>4</v>
      </c>
      <c r="M42" s="37">
        <v>2</v>
      </c>
      <c r="N42" s="37">
        <v>1</v>
      </c>
      <c r="O42" s="39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</row>
    <row r="43" spans="1:23" x14ac:dyDescent="0.3">
      <c r="A43" s="129"/>
      <c r="B43" s="129"/>
      <c r="C43" s="35" t="s">
        <v>118</v>
      </c>
      <c r="D43" s="36" t="s">
        <v>35</v>
      </c>
      <c r="E43" s="36">
        <f>IF(NOT(ISNUMBER(F43)),0,
   IF(NOT(ISNUMBER(#REF!)),
      F43 + IFERROR(INDEX(#REF!, MATCH(0, G43:Z43, 0)), 0),
      F43
   )
)</f>
        <v>4</v>
      </c>
      <c r="F43" s="37">
        <v>4</v>
      </c>
      <c r="G43" s="37">
        <v>4</v>
      </c>
      <c r="H43" s="37">
        <v>4</v>
      </c>
      <c r="I43" s="37">
        <v>4</v>
      </c>
      <c r="J43" s="37">
        <v>4</v>
      </c>
      <c r="K43" s="37">
        <v>4</v>
      </c>
      <c r="L43" s="37">
        <v>4</v>
      </c>
      <c r="M43" s="37">
        <v>2</v>
      </c>
      <c r="N43" s="37">
        <v>1</v>
      </c>
      <c r="O43" s="39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</row>
    <row r="44" spans="1:23" x14ac:dyDescent="0.3">
      <c r="A44" s="129"/>
      <c r="B44" s="129"/>
      <c r="C44" s="26" t="s">
        <v>53</v>
      </c>
      <c r="D44" s="36" t="s">
        <v>35</v>
      </c>
      <c r="E44" s="36">
        <f t="shared" si="0"/>
        <v>4</v>
      </c>
      <c r="F44" s="37">
        <v>4</v>
      </c>
      <c r="G44" s="37">
        <v>4</v>
      </c>
      <c r="H44" s="37">
        <v>4</v>
      </c>
      <c r="I44" s="37">
        <v>4</v>
      </c>
      <c r="J44" s="37">
        <v>4</v>
      </c>
      <c r="K44" s="37">
        <v>4</v>
      </c>
      <c r="L44" s="37">
        <v>4</v>
      </c>
      <c r="M44" s="37">
        <v>3</v>
      </c>
      <c r="N44" s="37">
        <v>1</v>
      </c>
      <c r="O44" s="39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</row>
    <row r="45" spans="1:23" x14ac:dyDescent="0.3">
      <c r="A45" s="129"/>
      <c r="B45" s="129"/>
      <c r="C45" s="35" t="s">
        <v>54</v>
      </c>
      <c r="D45" s="36" t="s">
        <v>66</v>
      </c>
      <c r="E45" s="36">
        <f t="shared" si="0"/>
        <v>4</v>
      </c>
      <c r="F45" s="37">
        <v>4</v>
      </c>
      <c r="G45" s="37">
        <v>4</v>
      </c>
      <c r="H45" s="37">
        <v>4</v>
      </c>
      <c r="I45" s="37">
        <v>4</v>
      </c>
      <c r="J45" s="37">
        <v>4</v>
      </c>
      <c r="K45" s="37">
        <v>4</v>
      </c>
      <c r="L45" s="37">
        <v>4</v>
      </c>
      <c r="M45" s="37">
        <v>3</v>
      </c>
      <c r="N45" s="37">
        <v>1</v>
      </c>
      <c r="O45" s="39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x14ac:dyDescent="0.3">
      <c r="A46" s="129"/>
      <c r="B46" s="129"/>
      <c r="C46" s="35" t="s">
        <v>55</v>
      </c>
      <c r="D46" s="36" t="s">
        <v>67</v>
      </c>
      <c r="E46" s="36">
        <f t="shared" si="0"/>
        <v>5</v>
      </c>
      <c r="F46" s="37">
        <v>4</v>
      </c>
      <c r="G46" s="37">
        <v>4</v>
      </c>
      <c r="H46" s="37">
        <v>4</v>
      </c>
      <c r="I46" s="37">
        <v>4</v>
      </c>
      <c r="J46" s="37">
        <v>4</v>
      </c>
      <c r="K46" s="37">
        <v>4</v>
      </c>
      <c r="L46" s="37">
        <v>4</v>
      </c>
      <c r="M46" s="37">
        <v>3</v>
      </c>
      <c r="N46" s="37">
        <v>1.5</v>
      </c>
      <c r="O46" s="39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x14ac:dyDescent="0.3">
      <c r="A47" s="129"/>
      <c r="B47" s="129"/>
      <c r="C47" s="35"/>
      <c r="D47" s="36"/>
      <c r="E47" s="36">
        <f t="shared" si="0"/>
        <v>0</v>
      </c>
      <c r="F47" s="37"/>
      <c r="G47" s="37"/>
      <c r="H47" s="37"/>
      <c r="I47" s="37"/>
      <c r="J47" s="37"/>
      <c r="K47" s="37"/>
      <c r="L47" s="37"/>
      <c r="M47" s="37"/>
      <c r="N47" s="37"/>
      <c r="O47" s="40">
        <v>1</v>
      </c>
      <c r="P47" s="12"/>
      <c r="Q47" s="12"/>
      <c r="R47" s="12"/>
      <c r="S47" s="12"/>
      <c r="T47" s="12"/>
      <c r="U47" s="12"/>
      <c r="V47" s="12"/>
      <c r="W47" s="12"/>
    </row>
    <row r="48" spans="1:23" ht="33.85" x14ac:dyDescent="0.3">
      <c r="A48" s="129"/>
      <c r="B48" s="129"/>
      <c r="C48" s="35" t="s">
        <v>56</v>
      </c>
      <c r="D48" s="36" t="s">
        <v>68</v>
      </c>
      <c r="E48" s="36">
        <f t="shared" si="0"/>
        <v>5</v>
      </c>
      <c r="F48" s="37">
        <v>4</v>
      </c>
      <c r="G48" s="37">
        <v>4</v>
      </c>
      <c r="H48" s="37">
        <v>4</v>
      </c>
      <c r="I48" s="37">
        <v>4</v>
      </c>
      <c r="J48" s="37">
        <v>4</v>
      </c>
      <c r="K48" s="37">
        <v>4</v>
      </c>
      <c r="L48" s="37">
        <v>4</v>
      </c>
      <c r="M48" s="37">
        <v>3</v>
      </c>
      <c r="N48" s="37">
        <v>1.5</v>
      </c>
      <c r="O48" s="39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</row>
    <row r="49" spans="1:23" x14ac:dyDescent="0.3">
      <c r="A49" s="129"/>
      <c r="B49" s="129"/>
      <c r="C49" s="35"/>
      <c r="D49" s="36"/>
      <c r="E49" s="36">
        <f t="shared" si="0"/>
        <v>0</v>
      </c>
      <c r="F49" s="37"/>
      <c r="G49" s="37"/>
      <c r="H49" s="37"/>
      <c r="I49" s="37"/>
      <c r="J49" s="37"/>
      <c r="K49" s="37"/>
      <c r="L49" s="37"/>
      <c r="M49" s="37"/>
      <c r="N49" s="37"/>
      <c r="O49" s="40">
        <v>1</v>
      </c>
      <c r="P49" s="12"/>
      <c r="Q49" s="12"/>
      <c r="R49" s="12"/>
      <c r="S49" s="12"/>
      <c r="T49" s="12"/>
      <c r="U49" s="12"/>
      <c r="V49" s="12"/>
      <c r="W49" s="12"/>
    </row>
    <row r="50" spans="1:23" x14ac:dyDescent="0.3">
      <c r="A50" s="129"/>
      <c r="B50" s="129"/>
      <c r="C50" s="35" t="s">
        <v>57</v>
      </c>
      <c r="D50" s="36" t="s">
        <v>65</v>
      </c>
      <c r="E50" s="36">
        <f t="shared" si="0"/>
        <v>3</v>
      </c>
      <c r="F50" s="37">
        <v>3</v>
      </c>
      <c r="G50" s="37">
        <v>3</v>
      </c>
      <c r="H50" s="37">
        <v>3</v>
      </c>
      <c r="I50" s="37">
        <v>3</v>
      </c>
      <c r="J50" s="37">
        <v>3</v>
      </c>
      <c r="K50" s="37">
        <v>3</v>
      </c>
      <c r="L50" s="37">
        <v>3</v>
      </c>
      <c r="M50" s="37">
        <v>3</v>
      </c>
      <c r="N50" s="37">
        <v>3</v>
      </c>
      <c r="O50" s="37">
        <v>2</v>
      </c>
      <c r="P50" s="37">
        <v>1</v>
      </c>
      <c r="Q50" s="37">
        <v>0.5</v>
      </c>
      <c r="R50" s="39">
        <v>0</v>
      </c>
      <c r="S50" s="12"/>
      <c r="T50" s="12"/>
      <c r="U50" s="12"/>
      <c r="V50" s="12"/>
      <c r="W50" s="12"/>
    </row>
    <row r="51" spans="1:23" x14ac:dyDescent="0.3">
      <c r="A51" s="129"/>
      <c r="B51" s="129"/>
      <c r="C51" s="35" t="s">
        <v>58</v>
      </c>
      <c r="D51" s="36" t="s">
        <v>65</v>
      </c>
      <c r="E51" s="36">
        <f t="shared" si="0"/>
        <v>3</v>
      </c>
      <c r="F51" s="37">
        <v>3</v>
      </c>
      <c r="G51" s="37">
        <v>3</v>
      </c>
      <c r="H51" s="37">
        <v>3</v>
      </c>
      <c r="I51" s="37">
        <v>3</v>
      </c>
      <c r="J51" s="37">
        <v>3</v>
      </c>
      <c r="K51" s="37">
        <v>3</v>
      </c>
      <c r="L51" s="37">
        <v>3</v>
      </c>
      <c r="M51" s="37">
        <v>3</v>
      </c>
      <c r="N51" s="37">
        <v>3</v>
      </c>
      <c r="O51" s="37">
        <v>2</v>
      </c>
      <c r="P51" s="37">
        <v>1</v>
      </c>
      <c r="Q51" s="37">
        <v>0.5</v>
      </c>
      <c r="R51" s="39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</row>
    <row r="52" spans="1:23" x14ac:dyDescent="0.3">
      <c r="A52" s="129"/>
      <c r="B52" s="129"/>
      <c r="C52" s="35" t="s">
        <v>119</v>
      </c>
      <c r="D52" s="36" t="s">
        <v>35</v>
      </c>
      <c r="E52" s="36">
        <f t="shared" si="0"/>
        <v>2.5</v>
      </c>
      <c r="F52" s="37">
        <v>3</v>
      </c>
      <c r="G52" s="37">
        <v>3</v>
      </c>
      <c r="H52" s="37">
        <v>3</v>
      </c>
      <c r="I52" s="37">
        <v>3</v>
      </c>
      <c r="J52" s="37">
        <v>3</v>
      </c>
      <c r="K52" s="37">
        <v>3</v>
      </c>
      <c r="L52" s="37">
        <v>3</v>
      </c>
      <c r="M52" s="37">
        <v>3</v>
      </c>
      <c r="N52" s="37">
        <v>3</v>
      </c>
      <c r="O52" s="37">
        <v>3</v>
      </c>
      <c r="P52" s="37">
        <v>2</v>
      </c>
      <c r="Q52" s="37">
        <v>1</v>
      </c>
      <c r="R52" s="39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</row>
    <row r="53" spans="1:23" x14ac:dyDescent="0.3">
      <c r="A53" s="129"/>
      <c r="B53" s="129"/>
      <c r="C53" s="35"/>
      <c r="D53" s="36"/>
      <c r="E53" s="36">
        <f t="shared" si="0"/>
        <v>0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41">
        <v>-0.5</v>
      </c>
      <c r="S53" s="12"/>
      <c r="T53" s="12"/>
      <c r="U53" s="12"/>
      <c r="V53" s="12"/>
      <c r="W53" s="12"/>
    </row>
    <row r="54" spans="1:23" x14ac:dyDescent="0.3">
      <c r="A54" s="129"/>
      <c r="B54" s="129"/>
      <c r="C54" s="26" t="s">
        <v>59</v>
      </c>
      <c r="D54" s="36" t="s">
        <v>35</v>
      </c>
      <c r="E54" s="36">
        <f t="shared" si="0"/>
        <v>3</v>
      </c>
      <c r="F54" s="37">
        <v>3</v>
      </c>
      <c r="G54" s="37">
        <v>3</v>
      </c>
      <c r="H54" s="37">
        <v>3</v>
      </c>
      <c r="I54" s="37">
        <v>3</v>
      </c>
      <c r="J54" s="37">
        <v>3</v>
      </c>
      <c r="K54" s="37">
        <v>3</v>
      </c>
      <c r="L54" s="37">
        <v>3</v>
      </c>
      <c r="M54" s="37">
        <v>3</v>
      </c>
      <c r="N54" s="37">
        <v>3</v>
      </c>
      <c r="O54" s="37">
        <v>3</v>
      </c>
      <c r="P54" s="37">
        <v>2</v>
      </c>
      <c r="Q54" s="37">
        <v>1</v>
      </c>
      <c r="R54" s="39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</row>
    <row r="55" spans="1:23" x14ac:dyDescent="0.3">
      <c r="A55" s="129"/>
      <c r="B55" s="129"/>
      <c r="C55" s="35" t="s">
        <v>60</v>
      </c>
      <c r="D55" s="36" t="s">
        <v>66</v>
      </c>
      <c r="E55" s="36">
        <f t="shared" si="0"/>
        <v>3</v>
      </c>
      <c r="F55" s="37">
        <v>3</v>
      </c>
      <c r="G55" s="37">
        <v>3</v>
      </c>
      <c r="H55" s="37">
        <v>3</v>
      </c>
      <c r="I55" s="37">
        <v>3</v>
      </c>
      <c r="J55" s="37">
        <v>3</v>
      </c>
      <c r="K55" s="37">
        <v>3</v>
      </c>
      <c r="L55" s="37">
        <v>3</v>
      </c>
      <c r="M55" s="37">
        <v>3</v>
      </c>
      <c r="N55" s="37">
        <v>3</v>
      </c>
      <c r="O55" s="37">
        <v>3</v>
      </c>
      <c r="P55" s="37">
        <v>2</v>
      </c>
      <c r="Q55" s="37">
        <v>1</v>
      </c>
      <c r="R55" s="39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</row>
    <row r="56" spans="1:23" x14ac:dyDescent="0.3">
      <c r="A56" s="129"/>
      <c r="B56" s="129"/>
      <c r="C56" s="35" t="s">
        <v>61</v>
      </c>
      <c r="D56" s="36" t="s">
        <v>67</v>
      </c>
      <c r="E56" s="36">
        <f t="shared" si="0"/>
        <v>3</v>
      </c>
      <c r="F56" s="37">
        <v>3</v>
      </c>
      <c r="G56" s="37">
        <v>3</v>
      </c>
      <c r="H56" s="37">
        <v>3</v>
      </c>
      <c r="I56" s="37">
        <v>3</v>
      </c>
      <c r="J56" s="37">
        <v>3</v>
      </c>
      <c r="K56" s="37">
        <v>3</v>
      </c>
      <c r="L56" s="37">
        <v>3</v>
      </c>
      <c r="M56" s="37">
        <v>3</v>
      </c>
      <c r="N56" s="37">
        <v>3</v>
      </c>
      <c r="O56" s="37">
        <v>3</v>
      </c>
      <c r="P56" s="37">
        <v>2</v>
      </c>
      <c r="Q56" s="37">
        <v>1</v>
      </c>
      <c r="R56" s="39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</row>
    <row r="57" spans="1:23" ht="33.85" x14ac:dyDescent="0.3">
      <c r="A57" s="129"/>
      <c r="B57" s="129"/>
      <c r="C57" s="35" t="s">
        <v>62</v>
      </c>
      <c r="D57" s="36" t="s">
        <v>68</v>
      </c>
      <c r="E57" s="36">
        <f t="shared" si="0"/>
        <v>3</v>
      </c>
      <c r="F57" s="37">
        <v>3</v>
      </c>
      <c r="G57" s="37">
        <v>3</v>
      </c>
      <c r="H57" s="37">
        <v>3</v>
      </c>
      <c r="I57" s="37">
        <v>3</v>
      </c>
      <c r="J57" s="37">
        <v>3</v>
      </c>
      <c r="K57" s="37">
        <v>3</v>
      </c>
      <c r="L57" s="37">
        <v>3</v>
      </c>
      <c r="M57" s="37">
        <v>3</v>
      </c>
      <c r="N57" s="37">
        <v>3</v>
      </c>
      <c r="O57" s="37">
        <v>3</v>
      </c>
      <c r="P57" s="37">
        <v>2</v>
      </c>
      <c r="Q57" s="37">
        <v>1</v>
      </c>
      <c r="R57" s="39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</row>
    <row r="58" spans="1:23" x14ac:dyDescent="0.3">
      <c r="A58" s="129"/>
      <c r="B58" s="129"/>
      <c r="C58" s="27" t="s">
        <v>63</v>
      </c>
      <c r="D58" s="37" t="s">
        <v>64</v>
      </c>
      <c r="E58" s="36">
        <f t="shared" si="0"/>
        <v>11</v>
      </c>
      <c r="F58" s="37">
        <v>11</v>
      </c>
      <c r="G58" s="37">
        <v>11</v>
      </c>
      <c r="H58" s="37">
        <v>11</v>
      </c>
      <c r="I58" s="37">
        <v>11</v>
      </c>
      <c r="J58" s="37">
        <v>11</v>
      </c>
      <c r="K58" s="37">
        <v>11</v>
      </c>
      <c r="L58" s="37">
        <v>11</v>
      </c>
      <c r="M58" s="37">
        <v>11</v>
      </c>
      <c r="N58" s="37">
        <v>11</v>
      </c>
      <c r="O58" s="37">
        <v>11</v>
      </c>
      <c r="P58" s="37">
        <v>8</v>
      </c>
      <c r="Q58" s="37">
        <v>4</v>
      </c>
      <c r="R58" s="39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</row>
    <row r="59" spans="1:23" x14ac:dyDescent="0.3">
      <c r="A59" s="129"/>
      <c r="B59" s="129" t="s">
        <v>19</v>
      </c>
      <c r="C59" s="26" t="s">
        <v>43</v>
      </c>
      <c r="D59" s="36" t="s">
        <v>66</v>
      </c>
      <c r="E59" s="36">
        <f t="shared" si="0"/>
        <v>4</v>
      </c>
      <c r="F59" s="37">
        <v>3</v>
      </c>
      <c r="G59" s="37">
        <v>3</v>
      </c>
      <c r="H59" s="37">
        <v>3</v>
      </c>
      <c r="I59" s="37">
        <v>3</v>
      </c>
      <c r="J59" s="37">
        <v>3</v>
      </c>
      <c r="K59" s="37">
        <v>3</v>
      </c>
      <c r="L59" s="37">
        <v>3</v>
      </c>
      <c r="M59" s="37">
        <v>3</v>
      </c>
      <c r="N59" s="37">
        <v>3</v>
      </c>
      <c r="O59" s="37">
        <v>3</v>
      </c>
      <c r="P59" s="37">
        <v>3</v>
      </c>
      <c r="Q59" s="37">
        <v>3</v>
      </c>
      <c r="R59" s="37">
        <v>2.5</v>
      </c>
      <c r="S59" s="37">
        <v>1</v>
      </c>
      <c r="T59" s="39">
        <v>0</v>
      </c>
      <c r="U59" s="12">
        <v>0</v>
      </c>
      <c r="V59" s="12">
        <v>0</v>
      </c>
      <c r="W59" s="12">
        <v>0</v>
      </c>
    </row>
    <row r="60" spans="1:23" x14ac:dyDescent="0.3">
      <c r="A60" s="129"/>
      <c r="B60" s="129"/>
      <c r="C60" s="26"/>
      <c r="D60" s="36"/>
      <c r="E60" s="36">
        <f t="shared" si="0"/>
        <v>0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40">
        <v>1</v>
      </c>
      <c r="U60" s="12"/>
      <c r="V60" s="12"/>
      <c r="W60" s="12"/>
    </row>
    <row r="61" spans="1:23" x14ac:dyDescent="0.3">
      <c r="A61" s="129"/>
      <c r="B61" s="129"/>
      <c r="C61" s="26" t="s">
        <v>44</v>
      </c>
      <c r="D61" s="36" t="s">
        <v>66</v>
      </c>
      <c r="E61" s="36">
        <f t="shared" si="0"/>
        <v>3</v>
      </c>
      <c r="F61" s="37">
        <v>3</v>
      </c>
      <c r="G61" s="37">
        <v>3</v>
      </c>
      <c r="H61" s="37">
        <v>3</v>
      </c>
      <c r="I61" s="37">
        <v>3</v>
      </c>
      <c r="J61" s="37">
        <v>3</v>
      </c>
      <c r="K61" s="37">
        <v>3</v>
      </c>
      <c r="L61" s="37">
        <v>3</v>
      </c>
      <c r="M61" s="37">
        <v>3</v>
      </c>
      <c r="N61" s="37">
        <v>3</v>
      </c>
      <c r="O61" s="37">
        <v>3</v>
      </c>
      <c r="P61" s="37">
        <v>3</v>
      </c>
      <c r="Q61" s="37">
        <v>3</v>
      </c>
      <c r="R61" s="37">
        <v>2.5</v>
      </c>
      <c r="S61" s="37">
        <v>1</v>
      </c>
      <c r="T61" s="39">
        <v>0</v>
      </c>
      <c r="U61" s="12">
        <v>0</v>
      </c>
      <c r="V61" s="12">
        <v>0</v>
      </c>
      <c r="W61" s="12">
        <v>0</v>
      </c>
    </row>
    <row r="62" spans="1:23" x14ac:dyDescent="0.3">
      <c r="A62" s="129"/>
      <c r="B62" s="129"/>
      <c r="C62" s="26" t="s">
        <v>117</v>
      </c>
      <c r="D62" s="36" t="s">
        <v>68</v>
      </c>
      <c r="E62" s="36">
        <f t="shared" si="0"/>
        <v>0.5</v>
      </c>
      <c r="F62" s="37">
        <v>2</v>
      </c>
      <c r="G62" s="37">
        <v>2</v>
      </c>
      <c r="H62" s="37">
        <v>2</v>
      </c>
      <c r="I62" s="37">
        <v>2</v>
      </c>
      <c r="J62" s="37">
        <v>2</v>
      </c>
      <c r="K62" s="37">
        <v>2</v>
      </c>
      <c r="L62" s="37">
        <v>2</v>
      </c>
      <c r="M62" s="37">
        <v>2</v>
      </c>
      <c r="N62" s="37">
        <v>2</v>
      </c>
      <c r="O62" s="37">
        <v>2</v>
      </c>
      <c r="P62" s="37">
        <v>2</v>
      </c>
      <c r="Q62" s="37">
        <v>2</v>
      </c>
      <c r="R62" s="37">
        <v>2.5</v>
      </c>
      <c r="S62" s="37">
        <v>1</v>
      </c>
      <c r="T62" s="39">
        <v>0</v>
      </c>
      <c r="U62" s="12">
        <v>0</v>
      </c>
      <c r="V62" s="12">
        <v>0</v>
      </c>
      <c r="W62" s="12">
        <v>0</v>
      </c>
    </row>
    <row r="63" spans="1:23" x14ac:dyDescent="0.3">
      <c r="A63" s="129"/>
      <c r="B63" s="129"/>
      <c r="C63" s="26"/>
      <c r="D63" s="36"/>
      <c r="E63" s="36">
        <f t="shared" si="0"/>
        <v>0</v>
      </c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41">
        <v>-1.5</v>
      </c>
      <c r="U63" s="12"/>
      <c r="V63" s="12"/>
      <c r="W63" s="12"/>
    </row>
    <row r="64" spans="1:23" ht="17.55" customHeight="1" x14ac:dyDescent="0.3">
      <c r="A64" s="129"/>
      <c r="B64" s="129"/>
      <c r="C64" s="26" t="s">
        <v>45</v>
      </c>
      <c r="D64" s="36" t="s">
        <v>68</v>
      </c>
      <c r="E64" s="36">
        <f t="shared" si="0"/>
        <v>3</v>
      </c>
      <c r="F64" s="37">
        <v>3</v>
      </c>
      <c r="G64" s="37">
        <v>3</v>
      </c>
      <c r="H64" s="37">
        <v>3</v>
      </c>
      <c r="I64" s="37">
        <v>3</v>
      </c>
      <c r="J64" s="37">
        <v>3</v>
      </c>
      <c r="K64" s="37">
        <v>3</v>
      </c>
      <c r="L64" s="37">
        <v>3</v>
      </c>
      <c r="M64" s="37">
        <v>3</v>
      </c>
      <c r="N64" s="37">
        <v>3</v>
      </c>
      <c r="O64" s="37">
        <v>3</v>
      </c>
      <c r="P64" s="37">
        <v>3</v>
      </c>
      <c r="Q64" s="37">
        <v>3</v>
      </c>
      <c r="R64" s="37">
        <v>2.5</v>
      </c>
      <c r="S64" s="37">
        <v>1</v>
      </c>
      <c r="T64" s="39">
        <v>0</v>
      </c>
      <c r="U64" s="12">
        <v>0</v>
      </c>
      <c r="V64" s="12">
        <v>0</v>
      </c>
      <c r="W64" s="12">
        <v>0</v>
      </c>
    </row>
    <row r="65" spans="1:23" x14ac:dyDescent="0.3">
      <c r="A65" s="129"/>
      <c r="B65" s="129"/>
      <c r="C65" s="26" t="s">
        <v>46</v>
      </c>
      <c r="D65" s="36" t="s">
        <v>67</v>
      </c>
      <c r="E65" s="36">
        <f t="shared" si="0"/>
        <v>2</v>
      </c>
      <c r="F65" s="37">
        <v>3</v>
      </c>
      <c r="G65" s="37">
        <v>3</v>
      </c>
      <c r="H65" s="37">
        <v>3</v>
      </c>
      <c r="I65" s="37">
        <v>3</v>
      </c>
      <c r="J65" s="37">
        <v>3</v>
      </c>
      <c r="K65" s="37">
        <v>3</v>
      </c>
      <c r="L65" s="37">
        <v>3</v>
      </c>
      <c r="M65" s="37">
        <v>3</v>
      </c>
      <c r="N65" s="37">
        <v>3</v>
      </c>
      <c r="O65" s="37">
        <v>3</v>
      </c>
      <c r="P65" s="37">
        <v>3</v>
      </c>
      <c r="Q65" s="37">
        <v>3</v>
      </c>
      <c r="R65" s="37">
        <v>2.5</v>
      </c>
      <c r="S65" s="37">
        <v>2</v>
      </c>
      <c r="T65" s="39">
        <v>0</v>
      </c>
      <c r="U65" s="12">
        <v>0</v>
      </c>
      <c r="V65" s="12">
        <v>0</v>
      </c>
      <c r="W65" s="12">
        <v>0</v>
      </c>
    </row>
    <row r="66" spans="1:23" x14ac:dyDescent="0.3">
      <c r="A66" s="129"/>
      <c r="B66" s="129"/>
      <c r="C66" s="26"/>
      <c r="D66" s="36"/>
      <c r="E66" s="36">
        <f t="shared" si="0"/>
        <v>0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>
        <v>2.5</v>
      </c>
      <c r="S66" s="37"/>
      <c r="T66" s="41">
        <v>-1</v>
      </c>
      <c r="U66" s="12"/>
      <c r="V66" s="12"/>
      <c r="W66" s="12"/>
    </row>
    <row r="67" spans="1:23" x14ac:dyDescent="0.3">
      <c r="A67" s="129"/>
      <c r="B67" s="129"/>
      <c r="C67" s="26" t="s">
        <v>47</v>
      </c>
      <c r="D67" s="36" t="s">
        <v>65</v>
      </c>
      <c r="E67" s="36">
        <f t="shared" si="0"/>
        <v>3</v>
      </c>
      <c r="F67" s="37">
        <v>3</v>
      </c>
      <c r="G67" s="37">
        <v>3</v>
      </c>
      <c r="H67" s="37">
        <v>3</v>
      </c>
      <c r="I67" s="37">
        <v>3</v>
      </c>
      <c r="J67" s="37">
        <v>3</v>
      </c>
      <c r="K67" s="37">
        <v>3</v>
      </c>
      <c r="L67" s="37">
        <v>3</v>
      </c>
      <c r="M67" s="37">
        <v>3</v>
      </c>
      <c r="N67" s="37">
        <v>3</v>
      </c>
      <c r="O67" s="37">
        <v>3</v>
      </c>
      <c r="P67" s="37">
        <v>3</v>
      </c>
      <c r="Q67" s="37">
        <v>3</v>
      </c>
      <c r="R67" s="37">
        <v>2.5</v>
      </c>
      <c r="S67" s="37">
        <v>2</v>
      </c>
      <c r="T67" s="39">
        <v>0</v>
      </c>
      <c r="U67" s="12">
        <v>0</v>
      </c>
      <c r="V67" s="12">
        <v>0</v>
      </c>
      <c r="W67" s="12">
        <v>0</v>
      </c>
    </row>
    <row r="68" spans="1:23" ht="33.85" x14ac:dyDescent="0.3">
      <c r="A68" s="129"/>
      <c r="B68" s="129"/>
      <c r="C68" s="26" t="s">
        <v>48</v>
      </c>
      <c r="D68" s="36" t="s">
        <v>35</v>
      </c>
      <c r="E68" s="36">
        <f t="shared" si="0"/>
        <v>4</v>
      </c>
      <c r="F68" s="37">
        <v>3</v>
      </c>
      <c r="G68" s="37">
        <v>3</v>
      </c>
      <c r="H68" s="37">
        <v>3</v>
      </c>
      <c r="I68" s="37">
        <v>3</v>
      </c>
      <c r="J68" s="37">
        <v>3</v>
      </c>
      <c r="K68" s="37">
        <v>3</v>
      </c>
      <c r="L68" s="37">
        <v>3</v>
      </c>
      <c r="M68" s="37">
        <v>3</v>
      </c>
      <c r="N68" s="37">
        <v>3</v>
      </c>
      <c r="O68" s="37">
        <v>3</v>
      </c>
      <c r="P68" s="37">
        <v>3</v>
      </c>
      <c r="Q68" s="37">
        <v>3</v>
      </c>
      <c r="R68" s="37">
        <v>2.5</v>
      </c>
      <c r="S68" s="37">
        <v>2</v>
      </c>
      <c r="T68" s="39">
        <v>0</v>
      </c>
      <c r="U68" s="12">
        <v>0</v>
      </c>
      <c r="V68" s="12">
        <v>0</v>
      </c>
      <c r="W68" s="12">
        <v>0</v>
      </c>
    </row>
    <row r="69" spans="1:23" x14ac:dyDescent="0.3">
      <c r="A69" s="129"/>
      <c r="B69" s="38"/>
      <c r="C69" s="26"/>
      <c r="D69" s="36"/>
      <c r="E69" s="36">
        <f t="shared" si="0"/>
        <v>0</v>
      </c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40">
        <v>1</v>
      </c>
      <c r="U69" s="12"/>
      <c r="V69" s="12"/>
      <c r="W69" s="12"/>
    </row>
    <row r="70" spans="1:23" x14ac:dyDescent="0.3">
      <c r="A70" s="129"/>
      <c r="B70" s="129" t="s">
        <v>20</v>
      </c>
      <c r="C70" s="26" t="s">
        <v>43</v>
      </c>
      <c r="D70" s="36" t="s">
        <v>65</v>
      </c>
      <c r="E70" s="36">
        <f t="shared" si="0"/>
        <v>1.5</v>
      </c>
      <c r="F70" s="37">
        <v>1.5</v>
      </c>
      <c r="G70" s="37">
        <v>1.5</v>
      </c>
      <c r="H70" s="37">
        <v>1.5</v>
      </c>
      <c r="I70" s="37">
        <v>1.5</v>
      </c>
      <c r="J70" s="37">
        <v>1.5</v>
      </c>
      <c r="K70" s="37">
        <v>1.5</v>
      </c>
      <c r="L70" s="37">
        <v>1.5</v>
      </c>
      <c r="M70" s="37">
        <v>1.5</v>
      </c>
      <c r="N70" s="37">
        <v>1.5</v>
      </c>
      <c r="O70" s="37">
        <v>1.5</v>
      </c>
      <c r="P70" s="37">
        <v>1.5</v>
      </c>
      <c r="Q70" s="37">
        <v>1.5</v>
      </c>
      <c r="R70" s="37">
        <v>1.5</v>
      </c>
      <c r="S70" s="37">
        <v>1.5</v>
      </c>
      <c r="T70" s="37">
        <v>1.5</v>
      </c>
      <c r="U70" s="39">
        <v>0</v>
      </c>
      <c r="V70" s="12">
        <v>0</v>
      </c>
      <c r="W70" s="12">
        <v>0</v>
      </c>
    </row>
    <row r="71" spans="1:23" x14ac:dyDescent="0.3">
      <c r="A71" s="129"/>
      <c r="B71" s="129"/>
      <c r="C71" s="26" t="s">
        <v>44</v>
      </c>
      <c r="D71" s="36" t="s">
        <v>65</v>
      </c>
      <c r="E71" s="36">
        <f t="shared" si="0"/>
        <v>1.5</v>
      </c>
      <c r="F71" s="37">
        <v>1.5</v>
      </c>
      <c r="G71" s="37">
        <v>1.5</v>
      </c>
      <c r="H71" s="37">
        <v>1.5</v>
      </c>
      <c r="I71" s="37">
        <v>1.5</v>
      </c>
      <c r="J71" s="37">
        <v>1.5</v>
      </c>
      <c r="K71" s="37">
        <v>1.5</v>
      </c>
      <c r="L71" s="37">
        <v>1.5</v>
      </c>
      <c r="M71" s="37">
        <v>1.5</v>
      </c>
      <c r="N71" s="37">
        <v>1.5</v>
      </c>
      <c r="O71" s="37">
        <v>1.5</v>
      </c>
      <c r="P71" s="37">
        <v>1.5</v>
      </c>
      <c r="Q71" s="37">
        <v>1.5</v>
      </c>
      <c r="R71" s="37">
        <v>1.5</v>
      </c>
      <c r="S71" s="37">
        <v>1.5</v>
      </c>
      <c r="T71" s="37">
        <v>1.5</v>
      </c>
      <c r="U71" s="39">
        <v>0</v>
      </c>
      <c r="V71" s="12">
        <v>0</v>
      </c>
      <c r="W71" s="12">
        <v>0</v>
      </c>
    </row>
    <row r="72" spans="1:23" x14ac:dyDescent="0.3">
      <c r="A72" s="129"/>
      <c r="B72" s="129"/>
      <c r="C72" s="26" t="s">
        <v>117</v>
      </c>
      <c r="D72" s="36" t="s">
        <v>35</v>
      </c>
      <c r="E72" s="36">
        <f t="shared" si="0"/>
        <v>0.5</v>
      </c>
      <c r="F72" s="37">
        <v>1</v>
      </c>
      <c r="G72" s="37">
        <v>1</v>
      </c>
      <c r="H72" s="37">
        <v>1</v>
      </c>
      <c r="I72" s="37">
        <v>1</v>
      </c>
      <c r="J72" s="37">
        <v>1</v>
      </c>
      <c r="K72" s="37">
        <v>1</v>
      </c>
      <c r="L72" s="37">
        <v>1</v>
      </c>
      <c r="M72" s="37">
        <v>1</v>
      </c>
      <c r="N72" s="37">
        <v>1</v>
      </c>
      <c r="O72" s="37">
        <v>1</v>
      </c>
      <c r="P72" s="37">
        <v>1</v>
      </c>
      <c r="Q72" s="37">
        <v>1</v>
      </c>
      <c r="R72" s="37">
        <v>1</v>
      </c>
      <c r="S72" s="37">
        <v>1</v>
      </c>
      <c r="T72" s="37">
        <v>1</v>
      </c>
      <c r="U72" s="39">
        <v>0</v>
      </c>
      <c r="V72" s="12">
        <v>0</v>
      </c>
      <c r="W72" s="12">
        <v>0</v>
      </c>
    </row>
    <row r="73" spans="1:23" x14ac:dyDescent="0.3">
      <c r="A73" s="129"/>
      <c r="B73" s="129"/>
      <c r="C73" s="26"/>
      <c r="D73" s="36"/>
      <c r="E73" s="36">
        <f t="shared" si="0"/>
        <v>0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41">
        <v>-0.5</v>
      </c>
      <c r="V73" s="12"/>
      <c r="W73" s="12"/>
    </row>
    <row r="74" spans="1:23" x14ac:dyDescent="0.3">
      <c r="A74" s="129"/>
      <c r="B74" s="129"/>
      <c r="C74" s="26" t="s">
        <v>45</v>
      </c>
      <c r="D74" s="36" t="s">
        <v>35</v>
      </c>
      <c r="E74" s="36">
        <f t="shared" si="0"/>
        <v>1.5</v>
      </c>
      <c r="F74" s="37">
        <v>1.5</v>
      </c>
      <c r="G74" s="37">
        <v>1.5</v>
      </c>
      <c r="H74" s="37">
        <v>1.5</v>
      </c>
      <c r="I74" s="37">
        <v>1.5</v>
      </c>
      <c r="J74" s="37">
        <v>1.5</v>
      </c>
      <c r="K74" s="37">
        <v>1.5</v>
      </c>
      <c r="L74" s="37">
        <v>1.5</v>
      </c>
      <c r="M74" s="37">
        <v>1.5</v>
      </c>
      <c r="N74" s="37">
        <v>1.5</v>
      </c>
      <c r="O74" s="37">
        <v>1.5</v>
      </c>
      <c r="P74" s="37">
        <v>1.5</v>
      </c>
      <c r="Q74" s="37">
        <v>1.5</v>
      </c>
      <c r="R74" s="37">
        <v>1.5</v>
      </c>
      <c r="S74" s="37">
        <v>1.5</v>
      </c>
      <c r="T74" s="37">
        <v>1.5</v>
      </c>
      <c r="U74" s="39">
        <v>0</v>
      </c>
      <c r="V74" s="12">
        <v>0</v>
      </c>
      <c r="W74" s="12">
        <v>0</v>
      </c>
    </row>
    <row r="75" spans="1:23" x14ac:dyDescent="0.3">
      <c r="A75" s="129"/>
      <c r="B75" s="129"/>
      <c r="C75" s="26" t="s">
        <v>46</v>
      </c>
      <c r="D75" s="36" t="s">
        <v>66</v>
      </c>
      <c r="E75" s="36">
        <f t="shared" si="0"/>
        <v>1.5</v>
      </c>
      <c r="F75" s="37">
        <v>1.5</v>
      </c>
      <c r="G75" s="37">
        <v>1.5</v>
      </c>
      <c r="H75" s="37">
        <v>1.5</v>
      </c>
      <c r="I75" s="37">
        <v>1.5</v>
      </c>
      <c r="J75" s="37">
        <v>1.5</v>
      </c>
      <c r="K75" s="37">
        <v>1.5</v>
      </c>
      <c r="L75" s="37">
        <v>1.5</v>
      </c>
      <c r="M75" s="37">
        <v>1.5</v>
      </c>
      <c r="N75" s="37">
        <v>1.5</v>
      </c>
      <c r="O75" s="37">
        <v>1.5</v>
      </c>
      <c r="P75" s="37">
        <v>1.5</v>
      </c>
      <c r="Q75" s="37">
        <v>1.5</v>
      </c>
      <c r="R75" s="37">
        <v>1.5</v>
      </c>
      <c r="S75" s="37">
        <v>1.5</v>
      </c>
      <c r="T75" s="37">
        <v>1.5</v>
      </c>
      <c r="U75" s="39">
        <v>0</v>
      </c>
      <c r="V75" s="12">
        <v>0</v>
      </c>
      <c r="W75" s="12">
        <v>0</v>
      </c>
    </row>
    <row r="76" spans="1:23" x14ac:dyDescent="0.3">
      <c r="A76" s="129"/>
      <c r="B76" s="129"/>
      <c r="C76" s="26" t="s">
        <v>47</v>
      </c>
      <c r="D76" s="36" t="s">
        <v>67</v>
      </c>
      <c r="E76" s="36">
        <f t="shared" si="0"/>
        <v>1.5</v>
      </c>
      <c r="F76" s="37">
        <v>1.5</v>
      </c>
      <c r="G76" s="37">
        <v>1.5</v>
      </c>
      <c r="H76" s="37">
        <v>1.5</v>
      </c>
      <c r="I76" s="37">
        <v>1.5</v>
      </c>
      <c r="J76" s="37">
        <v>1.5</v>
      </c>
      <c r="K76" s="37">
        <v>1.5</v>
      </c>
      <c r="L76" s="37">
        <v>1.5</v>
      </c>
      <c r="M76" s="37">
        <v>1.5</v>
      </c>
      <c r="N76" s="37">
        <v>1.5</v>
      </c>
      <c r="O76" s="37">
        <v>1.5</v>
      </c>
      <c r="P76" s="37">
        <v>1.5</v>
      </c>
      <c r="Q76" s="37">
        <v>1.5</v>
      </c>
      <c r="R76" s="37">
        <v>1.5</v>
      </c>
      <c r="S76" s="37">
        <v>1.5</v>
      </c>
      <c r="T76" s="37">
        <v>1.5</v>
      </c>
      <c r="U76" s="39">
        <v>0</v>
      </c>
      <c r="V76" s="12">
        <v>0</v>
      </c>
      <c r="W76" s="12">
        <v>0</v>
      </c>
    </row>
    <row r="77" spans="1:23" ht="33.85" x14ac:dyDescent="0.3">
      <c r="A77" s="129"/>
      <c r="B77" s="129"/>
      <c r="C77" s="26" t="s">
        <v>48</v>
      </c>
      <c r="D77" s="36" t="s">
        <v>68</v>
      </c>
      <c r="E77" s="36">
        <f t="shared" si="0"/>
        <v>2.5</v>
      </c>
      <c r="F77" s="37">
        <v>1.5</v>
      </c>
      <c r="G77" s="37">
        <v>1.5</v>
      </c>
      <c r="H77" s="37">
        <v>1.5</v>
      </c>
      <c r="I77" s="37">
        <v>1.5</v>
      </c>
      <c r="J77" s="37">
        <v>1.5</v>
      </c>
      <c r="K77" s="37">
        <v>1.5</v>
      </c>
      <c r="L77" s="37">
        <v>1.5</v>
      </c>
      <c r="M77" s="37">
        <v>1.5</v>
      </c>
      <c r="N77" s="37">
        <v>1.5</v>
      </c>
      <c r="O77" s="37">
        <v>1.5</v>
      </c>
      <c r="P77" s="37">
        <v>1.5</v>
      </c>
      <c r="Q77" s="37">
        <v>1.5</v>
      </c>
      <c r="R77" s="37">
        <v>1.5</v>
      </c>
      <c r="S77" s="37">
        <v>1.5</v>
      </c>
      <c r="T77" s="37">
        <v>1.5</v>
      </c>
      <c r="U77" s="39">
        <v>0</v>
      </c>
      <c r="V77" s="12">
        <v>0</v>
      </c>
      <c r="W77" s="12">
        <v>0</v>
      </c>
    </row>
    <row r="78" spans="1:23" x14ac:dyDescent="0.3">
      <c r="A78" s="129"/>
      <c r="B78" s="38"/>
      <c r="C78" s="26"/>
      <c r="D78" s="36"/>
      <c r="E78" s="36">
        <f t="shared" si="0"/>
        <v>0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40">
        <v>1</v>
      </c>
      <c r="V78" s="12"/>
      <c r="W78" s="12"/>
    </row>
    <row r="79" spans="1:23" x14ac:dyDescent="0.3">
      <c r="A79" s="129"/>
      <c r="B79" s="129" t="s">
        <v>26</v>
      </c>
      <c r="C79" s="26" t="s">
        <v>43</v>
      </c>
      <c r="D79" s="36" t="s">
        <v>66</v>
      </c>
      <c r="E79" s="36">
        <f t="shared" si="0"/>
        <v>1.5</v>
      </c>
      <c r="F79" s="37">
        <v>1.5</v>
      </c>
      <c r="G79" s="37">
        <v>1.5</v>
      </c>
      <c r="H79" s="37">
        <v>1.5</v>
      </c>
      <c r="I79" s="37">
        <v>1.5</v>
      </c>
      <c r="J79" s="37">
        <v>1.5</v>
      </c>
      <c r="K79" s="37">
        <v>1.5</v>
      </c>
      <c r="L79" s="37">
        <v>1.5</v>
      </c>
      <c r="M79" s="37">
        <v>1.5</v>
      </c>
      <c r="N79" s="37">
        <v>1.5</v>
      </c>
      <c r="O79" s="37">
        <v>1.5</v>
      </c>
      <c r="P79" s="37">
        <v>1.5</v>
      </c>
      <c r="Q79" s="37">
        <v>1.5</v>
      </c>
      <c r="R79" s="37">
        <v>1.5</v>
      </c>
      <c r="S79" s="37">
        <v>1.5</v>
      </c>
      <c r="T79" s="37">
        <v>1.5</v>
      </c>
      <c r="U79" s="37">
        <v>1.5</v>
      </c>
      <c r="V79" s="39">
        <v>0</v>
      </c>
      <c r="W79" s="12">
        <v>0</v>
      </c>
    </row>
    <row r="80" spans="1:23" x14ac:dyDescent="0.3">
      <c r="A80" s="129"/>
      <c r="B80" s="129"/>
      <c r="C80" s="26" t="s">
        <v>44</v>
      </c>
      <c r="D80" s="36" t="s">
        <v>66</v>
      </c>
      <c r="E80" s="36">
        <f t="shared" si="0"/>
        <v>1.5</v>
      </c>
      <c r="F80" s="37">
        <v>1.5</v>
      </c>
      <c r="G80" s="37">
        <v>1.5</v>
      </c>
      <c r="H80" s="37">
        <v>1.5</v>
      </c>
      <c r="I80" s="37">
        <v>1.5</v>
      </c>
      <c r="J80" s="37">
        <v>1.5</v>
      </c>
      <c r="K80" s="37">
        <v>1.5</v>
      </c>
      <c r="L80" s="37">
        <v>1.5</v>
      </c>
      <c r="M80" s="37">
        <v>1.5</v>
      </c>
      <c r="N80" s="37">
        <v>1.5</v>
      </c>
      <c r="O80" s="37">
        <v>1.5</v>
      </c>
      <c r="P80" s="37">
        <v>1.5</v>
      </c>
      <c r="Q80" s="37">
        <v>1.5</v>
      </c>
      <c r="R80" s="37">
        <v>1.5</v>
      </c>
      <c r="S80" s="37">
        <v>1.5</v>
      </c>
      <c r="T80" s="37">
        <v>1.5</v>
      </c>
      <c r="U80" s="37">
        <v>1.5</v>
      </c>
      <c r="V80" s="39">
        <v>0</v>
      </c>
      <c r="W80" s="12">
        <v>0</v>
      </c>
    </row>
    <row r="81" spans="1:23" x14ac:dyDescent="0.3">
      <c r="A81" s="129"/>
      <c r="B81" s="129"/>
      <c r="C81" s="26" t="s">
        <v>117</v>
      </c>
      <c r="D81" s="36" t="s">
        <v>68</v>
      </c>
      <c r="E81" s="36">
        <f t="shared" si="0"/>
        <v>1.5</v>
      </c>
      <c r="F81" s="37">
        <v>1.5</v>
      </c>
      <c r="G81" s="37">
        <v>1.5</v>
      </c>
      <c r="H81" s="37">
        <v>1.5</v>
      </c>
      <c r="I81" s="37">
        <v>1.5</v>
      </c>
      <c r="J81" s="37">
        <v>1.5</v>
      </c>
      <c r="K81" s="37">
        <v>1.5</v>
      </c>
      <c r="L81" s="37">
        <v>1.5</v>
      </c>
      <c r="M81" s="37">
        <v>1.5</v>
      </c>
      <c r="N81" s="37">
        <v>1.5</v>
      </c>
      <c r="O81" s="37">
        <v>1.5</v>
      </c>
      <c r="P81" s="37">
        <v>1.5</v>
      </c>
      <c r="Q81" s="37">
        <v>1.5</v>
      </c>
      <c r="R81" s="37">
        <v>1.5</v>
      </c>
      <c r="S81" s="37">
        <v>1.5</v>
      </c>
      <c r="T81" s="37">
        <v>1.5</v>
      </c>
      <c r="U81" s="37">
        <v>1.5</v>
      </c>
      <c r="V81" s="39">
        <v>0</v>
      </c>
      <c r="W81" s="12">
        <v>0</v>
      </c>
    </row>
    <row r="82" spans="1:23" x14ac:dyDescent="0.3">
      <c r="A82" s="129"/>
      <c r="B82" s="129"/>
      <c r="C82" s="26" t="s">
        <v>45</v>
      </c>
      <c r="D82" s="36" t="s">
        <v>68</v>
      </c>
      <c r="E82" s="36">
        <f t="shared" ref="E82:E89" si="1">IF(NOT(ISNUMBER(F82)),0,
   IF(NOT(ISNUMBER(F83)),
      F82 + IFERROR(INDEX(G83:Z83, MATCH(0, G82:Z82, 0)), 0),
      F82
   )
)</f>
        <v>2.5</v>
      </c>
      <c r="F82" s="37">
        <v>1.5</v>
      </c>
      <c r="G82" s="37">
        <v>1.5</v>
      </c>
      <c r="H82" s="37">
        <v>1.5</v>
      </c>
      <c r="I82" s="37">
        <v>1.5</v>
      </c>
      <c r="J82" s="37">
        <v>1.5</v>
      </c>
      <c r="K82" s="37">
        <v>1.5</v>
      </c>
      <c r="L82" s="37">
        <v>1.5</v>
      </c>
      <c r="M82" s="37">
        <v>1.5</v>
      </c>
      <c r="N82" s="37">
        <v>1.5</v>
      </c>
      <c r="O82" s="37">
        <v>1.5</v>
      </c>
      <c r="P82" s="37">
        <v>1.5</v>
      </c>
      <c r="Q82" s="37">
        <v>1.5</v>
      </c>
      <c r="R82" s="37">
        <v>1.5</v>
      </c>
      <c r="S82" s="37">
        <v>1.5</v>
      </c>
      <c r="T82" s="37">
        <v>1.5</v>
      </c>
      <c r="U82" s="37">
        <v>1.5</v>
      </c>
      <c r="V82" s="39">
        <v>0</v>
      </c>
      <c r="W82" s="12">
        <v>0</v>
      </c>
    </row>
    <row r="83" spans="1:23" x14ac:dyDescent="0.3">
      <c r="A83" s="129"/>
      <c r="B83" s="129"/>
      <c r="C83" s="26"/>
      <c r="D83" s="36"/>
      <c r="E83" s="36">
        <f t="shared" si="1"/>
        <v>0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40">
        <v>1</v>
      </c>
      <c r="W83" s="12"/>
    </row>
    <row r="84" spans="1:23" x14ac:dyDescent="0.3">
      <c r="A84" s="129"/>
      <c r="B84" s="129"/>
      <c r="C84" s="26" t="s">
        <v>46</v>
      </c>
      <c r="D84" s="36" t="s">
        <v>67</v>
      </c>
      <c r="E84" s="36">
        <f t="shared" si="1"/>
        <v>1.5</v>
      </c>
      <c r="F84" s="37">
        <v>1.5</v>
      </c>
      <c r="G84" s="37">
        <v>1.5</v>
      </c>
      <c r="H84" s="37">
        <v>1.5</v>
      </c>
      <c r="I84" s="37">
        <v>1.5</v>
      </c>
      <c r="J84" s="37">
        <v>1.5</v>
      </c>
      <c r="K84" s="37">
        <v>1.5</v>
      </c>
      <c r="L84" s="37">
        <v>1.5</v>
      </c>
      <c r="M84" s="37">
        <v>1.5</v>
      </c>
      <c r="N84" s="37">
        <v>1.5</v>
      </c>
      <c r="O84" s="37">
        <v>1.5</v>
      </c>
      <c r="P84" s="37">
        <v>1.5</v>
      </c>
      <c r="Q84" s="37">
        <v>1.5</v>
      </c>
      <c r="R84" s="37">
        <v>1.5</v>
      </c>
      <c r="S84" s="37">
        <v>1.5</v>
      </c>
      <c r="T84" s="37">
        <v>1.5</v>
      </c>
      <c r="U84" s="37">
        <v>1.5</v>
      </c>
      <c r="V84" s="39">
        <v>0</v>
      </c>
      <c r="W84" s="12">
        <v>0</v>
      </c>
    </row>
    <row r="85" spans="1:23" x14ac:dyDescent="0.3">
      <c r="A85" s="129"/>
      <c r="B85" s="129"/>
      <c r="C85" s="26" t="s">
        <v>47</v>
      </c>
      <c r="D85" s="36" t="s">
        <v>65</v>
      </c>
      <c r="E85" s="36">
        <f t="shared" si="1"/>
        <v>1.5</v>
      </c>
      <c r="F85" s="37">
        <v>1.5</v>
      </c>
      <c r="G85" s="37">
        <v>1.5</v>
      </c>
      <c r="H85" s="37">
        <v>1.5</v>
      </c>
      <c r="I85" s="37">
        <v>1.5</v>
      </c>
      <c r="J85" s="37">
        <v>1.5</v>
      </c>
      <c r="K85" s="37">
        <v>1.5</v>
      </c>
      <c r="L85" s="37">
        <v>1.5</v>
      </c>
      <c r="M85" s="37">
        <v>1.5</v>
      </c>
      <c r="N85" s="37">
        <v>1.5</v>
      </c>
      <c r="O85" s="37">
        <v>1.5</v>
      </c>
      <c r="P85" s="37">
        <v>1.5</v>
      </c>
      <c r="Q85" s="37">
        <v>1.5</v>
      </c>
      <c r="R85" s="37">
        <v>1.5</v>
      </c>
      <c r="S85" s="37">
        <v>1.5</v>
      </c>
      <c r="T85" s="37">
        <v>1.5</v>
      </c>
      <c r="U85" s="37">
        <v>1.5</v>
      </c>
      <c r="V85" s="39">
        <v>0</v>
      </c>
      <c r="W85" s="12">
        <v>0</v>
      </c>
    </row>
    <row r="86" spans="1:23" ht="33.85" x14ac:dyDescent="0.3">
      <c r="A86" s="129"/>
      <c r="B86" s="129"/>
      <c r="C86" s="26" t="s">
        <v>48</v>
      </c>
      <c r="D86" s="36" t="s">
        <v>35</v>
      </c>
      <c r="E86" s="36">
        <f t="shared" si="1"/>
        <v>2</v>
      </c>
      <c r="F86" s="37">
        <v>1</v>
      </c>
      <c r="G86" s="37">
        <v>1</v>
      </c>
      <c r="H86" s="37">
        <v>1</v>
      </c>
      <c r="I86" s="37">
        <v>1</v>
      </c>
      <c r="J86" s="37">
        <v>1</v>
      </c>
      <c r="K86" s="37">
        <v>1</v>
      </c>
      <c r="L86" s="37">
        <v>1</v>
      </c>
      <c r="M86" s="37">
        <v>1</v>
      </c>
      <c r="N86" s="37">
        <v>1</v>
      </c>
      <c r="O86" s="37">
        <v>1</v>
      </c>
      <c r="P86" s="37">
        <v>1</v>
      </c>
      <c r="Q86" s="37">
        <v>1</v>
      </c>
      <c r="R86" s="37">
        <v>1</v>
      </c>
      <c r="S86" s="37">
        <v>1</v>
      </c>
      <c r="T86" s="37">
        <v>1</v>
      </c>
      <c r="U86" s="37">
        <v>1</v>
      </c>
      <c r="V86" s="39">
        <v>0</v>
      </c>
      <c r="W86" s="12">
        <v>0</v>
      </c>
    </row>
    <row r="87" spans="1:23" x14ac:dyDescent="0.3">
      <c r="A87" s="129"/>
      <c r="B87" s="38"/>
      <c r="C87" s="26"/>
      <c r="D87" s="36"/>
      <c r="E87" s="36">
        <f t="shared" si="1"/>
        <v>0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40">
        <v>1</v>
      </c>
      <c r="W87" s="12"/>
    </row>
    <row r="88" spans="1:23" x14ac:dyDescent="0.3">
      <c r="A88" s="129"/>
      <c r="B88" s="129" t="s">
        <v>23</v>
      </c>
      <c r="C88" s="22" t="s">
        <v>21</v>
      </c>
      <c r="D88" s="42" t="s">
        <v>27</v>
      </c>
      <c r="E88" s="36">
        <f t="shared" si="1"/>
        <v>5</v>
      </c>
      <c r="F88" s="12">
        <v>5</v>
      </c>
      <c r="G88" s="12">
        <v>5</v>
      </c>
      <c r="H88" s="12">
        <v>5</v>
      </c>
      <c r="I88" s="12">
        <v>5</v>
      </c>
      <c r="J88" s="12">
        <v>5</v>
      </c>
      <c r="K88" s="12">
        <v>5</v>
      </c>
      <c r="L88" s="12">
        <v>5</v>
      </c>
      <c r="M88" s="12">
        <v>5</v>
      </c>
      <c r="N88" s="12">
        <v>5</v>
      </c>
      <c r="O88" s="12">
        <v>5</v>
      </c>
      <c r="P88" s="12">
        <v>5</v>
      </c>
      <c r="Q88" s="12">
        <v>5</v>
      </c>
      <c r="R88" s="12">
        <v>5</v>
      </c>
      <c r="S88" s="12">
        <v>5</v>
      </c>
      <c r="T88" s="12">
        <v>5</v>
      </c>
      <c r="U88" s="12">
        <v>5</v>
      </c>
      <c r="V88" s="12">
        <v>5</v>
      </c>
      <c r="W88" s="39">
        <v>0</v>
      </c>
    </row>
    <row r="89" spans="1:23" x14ac:dyDescent="0.3">
      <c r="A89" s="129"/>
      <c r="B89" s="129"/>
      <c r="C89" s="22" t="s">
        <v>22</v>
      </c>
      <c r="D89" s="42" t="s">
        <v>27</v>
      </c>
      <c r="E89" s="36">
        <f t="shared" si="1"/>
        <v>5</v>
      </c>
      <c r="F89" s="12">
        <v>5</v>
      </c>
      <c r="G89" s="12">
        <v>5</v>
      </c>
      <c r="H89" s="12">
        <v>5</v>
      </c>
      <c r="I89" s="12">
        <v>5</v>
      </c>
      <c r="J89" s="12">
        <v>5</v>
      </c>
      <c r="K89" s="12">
        <v>5</v>
      </c>
      <c r="L89" s="12">
        <v>5</v>
      </c>
      <c r="M89" s="12">
        <v>5</v>
      </c>
      <c r="N89" s="12">
        <v>5</v>
      </c>
      <c r="O89" s="12">
        <v>5</v>
      </c>
      <c r="P89" s="12">
        <v>5</v>
      </c>
      <c r="Q89" s="12">
        <v>5</v>
      </c>
      <c r="R89" s="12">
        <v>5</v>
      </c>
      <c r="S89" s="12">
        <v>5</v>
      </c>
      <c r="T89" s="12">
        <v>5</v>
      </c>
      <c r="U89" s="12">
        <v>5</v>
      </c>
      <c r="V89" s="12">
        <v>5</v>
      </c>
      <c r="W89" s="39">
        <v>0</v>
      </c>
    </row>
    <row r="90" spans="1:23" x14ac:dyDescent="0.3">
      <c r="A90" s="129"/>
      <c r="B90" s="133" t="s">
        <v>12</v>
      </c>
      <c r="C90" s="133"/>
      <c r="D90" s="43" t="s">
        <v>11</v>
      </c>
      <c r="E90" s="128">
        <f>SUM(E16:E89)</f>
        <v>178.5</v>
      </c>
      <c r="F90" s="128"/>
      <c r="G90" s="43">
        <f t="shared" ref="G90:W90" si="2">SUM(G16:G89)</f>
        <v>160</v>
      </c>
      <c r="H90" s="43">
        <f t="shared" si="2"/>
        <v>152</v>
      </c>
      <c r="I90" s="43">
        <f t="shared" si="2"/>
        <v>140</v>
      </c>
      <c r="J90" s="43">
        <f t="shared" si="2"/>
        <v>130.5</v>
      </c>
      <c r="K90" s="43">
        <f t="shared" si="2"/>
        <v>120</v>
      </c>
      <c r="L90" s="43">
        <f t="shared" si="2"/>
        <v>112.5</v>
      </c>
      <c r="M90" s="43">
        <f t="shared" si="2"/>
        <v>100</v>
      </c>
      <c r="N90" s="43">
        <f t="shared" si="2"/>
        <v>90</v>
      </c>
      <c r="O90" s="43">
        <f t="shared" si="2"/>
        <v>82</v>
      </c>
      <c r="P90" s="43">
        <f t="shared" si="2"/>
        <v>70</v>
      </c>
      <c r="Q90" s="43">
        <f t="shared" si="2"/>
        <v>60</v>
      </c>
      <c r="R90" s="43">
        <f t="shared" si="2"/>
        <v>49.5</v>
      </c>
      <c r="S90" s="43">
        <f t="shared" si="2"/>
        <v>40</v>
      </c>
      <c r="T90" s="43">
        <f t="shared" si="2"/>
        <v>29.5</v>
      </c>
      <c r="U90" s="43">
        <f t="shared" si="2"/>
        <v>20.5</v>
      </c>
      <c r="V90" s="43">
        <f t="shared" si="2"/>
        <v>12</v>
      </c>
      <c r="W90" s="43">
        <f t="shared" si="2"/>
        <v>0</v>
      </c>
    </row>
    <row r="91" spans="1:23" x14ac:dyDescent="0.3">
      <c r="A91" s="129"/>
      <c r="B91" s="133"/>
      <c r="C91" s="133"/>
      <c r="D91" s="43" t="s">
        <v>28</v>
      </c>
      <c r="E91" s="128">
        <f>SUM(F16:F89)</f>
        <v>170</v>
      </c>
      <c r="F91" s="128"/>
      <c r="G91" s="43">
        <f>SUM(G16:G89)</f>
        <v>160</v>
      </c>
      <c r="H91" s="43">
        <f>SUM(H16:H89)-H19</f>
        <v>150</v>
      </c>
      <c r="I91" s="43">
        <f>SUM(I16:I89)</f>
        <v>140</v>
      </c>
      <c r="J91" s="43">
        <f>SUM(J16:J89)-(J28+J25)</f>
        <v>130</v>
      </c>
      <c r="K91" s="43">
        <f>SUM(K16:K89)</f>
        <v>120</v>
      </c>
      <c r="L91" s="43">
        <f>SUM(L16:L89)-L39-L36-L33</f>
        <v>110</v>
      </c>
      <c r="M91" s="43">
        <f>SUM(M16:M89)</f>
        <v>100</v>
      </c>
      <c r="N91" s="43">
        <f>SUM(N16:N89)</f>
        <v>90</v>
      </c>
      <c r="O91" s="43">
        <f>SUM(O16:O89)-(SUM(,O47,O49))</f>
        <v>80</v>
      </c>
      <c r="P91" s="43">
        <f>SUM(P16:P89)</f>
        <v>70</v>
      </c>
      <c r="Q91" s="43">
        <f>SUM(Q16:Q89)</f>
        <v>60</v>
      </c>
      <c r="R91" s="43">
        <f>SUM(R16:R89)-R53</f>
        <v>50</v>
      </c>
      <c r="S91" s="43">
        <f>SUM(S16:S89)</f>
        <v>40</v>
      </c>
      <c r="T91" s="43">
        <f>SUM(T16:T89)-(T60+T63+T66+T69)</f>
        <v>30</v>
      </c>
      <c r="U91" s="43">
        <f>SUM(U16:U89)-U73-U78</f>
        <v>20</v>
      </c>
      <c r="V91" s="43">
        <f>SUM(V16:V89)-V83-V87</f>
        <v>10</v>
      </c>
      <c r="W91" s="43">
        <f>SUM(W16:W89)-W19</f>
        <v>0</v>
      </c>
    </row>
  </sheetData>
  <mergeCells count="20">
    <mergeCell ref="B90:C91"/>
    <mergeCell ref="B79:B86"/>
    <mergeCell ref="B88:B89"/>
    <mergeCell ref="B59:B68"/>
    <mergeCell ref="E90:F90"/>
    <mergeCell ref="E91:F91"/>
    <mergeCell ref="B70:B77"/>
    <mergeCell ref="B41:B58"/>
    <mergeCell ref="A1:B1"/>
    <mergeCell ref="A2:B2"/>
    <mergeCell ref="A3:B3"/>
    <mergeCell ref="A4:B4"/>
    <mergeCell ref="B6:D6"/>
    <mergeCell ref="B13:C13"/>
    <mergeCell ref="B16:C16"/>
    <mergeCell ref="B17:C17"/>
    <mergeCell ref="B18:C18"/>
    <mergeCell ref="B20:B29"/>
    <mergeCell ref="B30:B40"/>
    <mergeCell ref="A16:A9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52"/>
  <sheetViews>
    <sheetView topLeftCell="D15" zoomScale="85" zoomScaleNormal="85" workbookViewId="0">
      <pane ySplit="1" topLeftCell="A71" activePane="bottomLeft" state="frozen"/>
      <selection activeCell="D15" sqref="D15"/>
      <selection pane="bottomLeft" activeCell="Y83" sqref="Y83"/>
    </sheetView>
  </sheetViews>
  <sheetFormatPr defaultColWidth="9.109375" defaultRowHeight="16.899999999999999" x14ac:dyDescent="0.3"/>
  <cols>
    <col min="1" max="1" width="16" style="1" customWidth="1"/>
    <col min="2" max="2" width="20.33203125" style="1" customWidth="1"/>
    <col min="3" max="3" width="33" style="1" customWidth="1"/>
    <col min="4" max="4" width="21.88671875" style="1" customWidth="1"/>
    <col min="5" max="5" width="18.77734375" style="89" bestFit="1" customWidth="1"/>
    <col min="6" max="6" width="6.6640625" style="92" customWidth="1"/>
    <col min="7" max="7" width="5" style="1" bestFit="1" customWidth="1"/>
    <col min="8" max="8" width="7.109375" style="1" bestFit="1" customWidth="1"/>
    <col min="9" max="9" width="7.77734375" style="1" customWidth="1"/>
    <col min="10" max="10" width="7.77734375" style="1" bestFit="1" customWidth="1"/>
    <col min="11" max="11" width="7.33203125" style="1" bestFit="1" customWidth="1"/>
    <col min="12" max="12" width="7.77734375" style="1" bestFit="1" customWidth="1"/>
    <col min="13" max="13" width="6.109375" style="1" bestFit="1" customWidth="1"/>
    <col min="14" max="15" width="7.77734375" style="1" bestFit="1" customWidth="1"/>
    <col min="16" max="17" width="6.109375" style="1" bestFit="1" customWidth="1"/>
    <col min="18" max="18" width="7.77734375" style="1" bestFit="1" customWidth="1"/>
    <col min="19" max="19" width="6.109375" style="1" bestFit="1" customWidth="1"/>
    <col min="20" max="23" width="7.77734375" style="1" bestFit="1" customWidth="1"/>
    <col min="24" max="16384" width="9.109375" style="1"/>
  </cols>
  <sheetData>
    <row r="1" spans="1:23" ht="85.15" thickBot="1" x14ac:dyDescent="0.35">
      <c r="A1" s="130" t="s">
        <v>3</v>
      </c>
      <c r="B1" s="130"/>
      <c r="C1" s="94" t="s">
        <v>36</v>
      </c>
      <c r="D1" s="6"/>
      <c r="E1" s="87" t="s">
        <v>34</v>
      </c>
      <c r="F1" s="1"/>
    </row>
    <row r="2" spans="1:23" ht="17.55" thickBot="1" x14ac:dyDescent="0.35">
      <c r="A2" s="130" t="s">
        <v>2</v>
      </c>
      <c r="B2" s="130"/>
      <c r="C2" s="95" t="s">
        <v>24</v>
      </c>
      <c r="D2" s="7"/>
      <c r="E2" s="88" t="s">
        <v>33</v>
      </c>
      <c r="F2" s="1"/>
    </row>
    <row r="3" spans="1:23" ht="17.55" thickBot="1" x14ac:dyDescent="0.35">
      <c r="A3" s="130" t="s">
        <v>1</v>
      </c>
      <c r="B3" s="130"/>
      <c r="C3" s="96">
        <v>46238</v>
      </c>
      <c r="D3" s="97"/>
      <c r="E3" s="88" t="s">
        <v>32</v>
      </c>
      <c r="F3" s="1"/>
    </row>
    <row r="4" spans="1:23" ht="17.25" customHeight="1" thickBot="1" x14ac:dyDescent="0.35">
      <c r="A4" s="130" t="s">
        <v>0</v>
      </c>
      <c r="B4" s="130"/>
      <c r="C4" s="96" t="s">
        <v>70</v>
      </c>
      <c r="D4" s="98"/>
      <c r="E4" s="19"/>
      <c r="F4" s="1"/>
    </row>
    <row r="5" spans="1:23" ht="16.45" customHeight="1" thickBot="1" x14ac:dyDescent="0.35">
      <c r="E5" s="1"/>
      <c r="F5" s="1"/>
    </row>
    <row r="6" spans="1:23" x14ac:dyDescent="0.3">
      <c r="B6" s="136" t="s">
        <v>5</v>
      </c>
      <c r="C6" s="137"/>
      <c r="D6" s="137"/>
      <c r="E6" s="138"/>
      <c r="F6" s="1"/>
    </row>
    <row r="7" spans="1:23" x14ac:dyDescent="0.3">
      <c r="B7" s="101" t="s">
        <v>6</v>
      </c>
      <c r="C7" s="99" t="s">
        <v>29</v>
      </c>
      <c r="D7" s="99" t="s">
        <v>11</v>
      </c>
      <c r="E7" s="102" t="s">
        <v>28</v>
      </c>
      <c r="F7" s="1"/>
    </row>
    <row r="8" spans="1:23" x14ac:dyDescent="0.3">
      <c r="B8" s="103">
        <v>1</v>
      </c>
      <c r="C8" s="35" t="s">
        <v>39</v>
      </c>
      <c r="D8" s="100" cm="1">
        <f t="array" ref="D8">SUMPRODUCT(
 ISNUMBER(SEARCH("All Team",D16:D70))*(E16:E70/5)
 +
 ISNUMBER(SEARCH("Dũng",D16:D70))*
 E16:E70/(LEN(D16:D70)-LEN(SUBSTITUTE(D16:D70,",",""))+1)
)</f>
        <v>35.1</v>
      </c>
      <c r="E8" s="104" cm="1">
        <f t="array" ref="E8">SUMPRODUCT(
 ISNUMBER(SEARCH("All Team",D16:D70))*(F16:F70/5)
 +
 ISNUMBER(SEARCH("Dũng",D16:D70))*
 F16:F70/(LEN(D16:D70)-LEN(SUBSTITUTE(D16:D70,",",""))+1)
)</f>
        <v>33.6</v>
      </c>
      <c r="F8" s="1"/>
    </row>
    <row r="9" spans="1:23" x14ac:dyDescent="0.3">
      <c r="B9" s="103">
        <v>2</v>
      </c>
      <c r="C9" s="35" t="s">
        <v>40</v>
      </c>
      <c r="D9" s="48" cm="1">
        <f t="array" ref="D9">SUMPRODUCT(
 ISNUMBER(SEARCH("All Team",D16:D70))*(E16:E70/5)
 +
 ISNUMBER(SEARCH("Hằng",D16:D70))*
 E16:E70/(LEN(D16:D70)-LEN(SUBSTITUTE(D16:D70,",",""))+1)
)</f>
        <v>35.1</v>
      </c>
      <c r="E9" s="105" cm="1">
        <f t="array" ref="E9">SUMPRODUCT(
 ISNUMBER(SEARCH("All Team",D16:D70))*(F16:F70/5)
 +
 ISNUMBER(SEARCH("Hằng",D16:D70))*
 F16:F70/(LEN(D16:D70)-LEN(SUBSTITUTE(D16:D70,",",""))+1)
)</f>
        <v>33.6</v>
      </c>
      <c r="F9" s="1"/>
    </row>
    <row r="10" spans="1:23" x14ac:dyDescent="0.3">
      <c r="B10" s="103">
        <v>3</v>
      </c>
      <c r="C10" s="35" t="s">
        <v>41</v>
      </c>
      <c r="D10" s="48" cm="1">
        <f t="array" ref="D10">SUMPRODUCT(
 ISNUMBER(SEARCH("All Team",D16:D70))*(E16:E70/5)
 +
 ISNUMBER(SEARCH("Hoàng",D16:D70))*
 E16:E70/(LEN(D16:D70)-LEN(SUBSTITUTE(D16:D70,",",""))+1)
)</f>
        <v>35.1</v>
      </c>
      <c r="E10" s="105" cm="1">
        <f t="array" ref="E10">SUMPRODUCT(
 ISNUMBER(SEARCH("All Team",D16:D70))*(F16:F70/5)
 +
 ISNUMBER(SEARCH("Hoàng",D16:D70))*
 F16:F70/(LEN(D16:D70)-LEN(SUBSTITUTE(D16:D70,",",""))+1)
)</f>
        <v>33.6</v>
      </c>
      <c r="F10" s="1"/>
    </row>
    <row r="11" spans="1:23" x14ac:dyDescent="0.3">
      <c r="B11" s="103">
        <v>4</v>
      </c>
      <c r="C11" s="35" t="s">
        <v>42</v>
      </c>
      <c r="D11" s="48" cm="1">
        <f t="array" ref="D11">SUMPRODUCT(
 ISNUMBER(SEARCH("All Team",D16:D70))*(E16:E70/5)
 +
 ISNUMBER(SEARCH("Nguyên",D16:D70))*
 E16:E70/(LEN(D16:D70)-LEN(SUBSTITUTE(D16:D70,",",""))+1)
)</f>
        <v>35.1</v>
      </c>
      <c r="E11" s="105" cm="1">
        <f t="array" ref="E11">SUMPRODUCT(
 ISNUMBER(SEARCH("All Team",D16:D70))*(F16:F70/5)
 +
 ISNUMBER(SEARCH("Nguyên",D16:D70))*
 F16:F70/(LEN(D16:D70)-LEN(SUBSTITUTE(D16:D70,",",""))+1)
)</f>
        <v>34.6</v>
      </c>
      <c r="F11" s="1"/>
    </row>
    <row r="12" spans="1:23" x14ac:dyDescent="0.3">
      <c r="B12" s="103">
        <v>5</v>
      </c>
      <c r="C12" s="35" t="s">
        <v>38</v>
      </c>
      <c r="D12" s="48" cm="1">
        <f t="array" ref="D12">SUMPRODUCT(
 ISNUMBER(SEARCH("All Team",D16:D70))*(E16:E70/5)
 +
 ISNUMBER(SEARCH("Nhi",D16:D70))*
 E16:E70/(LEN(D16:D70)-LEN(SUBSTITUTE(D16:D70,",",""))+1)
)</f>
        <v>35.1</v>
      </c>
      <c r="E12" s="105" cm="1">
        <f t="array" ref="E12">SUMPRODUCT(
 ISNUMBER(SEARCH("All Team",D16:D70))*(F16:F70/5)
 +
 ISNUMBER(SEARCH("Nhi",D16:D70))*
 F16:F70/(LEN(D16:D70)-LEN(SUBSTITUTE(D16:D70,",",""))+1)
)</f>
        <v>34.6</v>
      </c>
      <c r="F12" s="1"/>
    </row>
    <row r="13" spans="1:23" ht="17.55" thickBot="1" x14ac:dyDescent="0.35">
      <c r="B13" s="134" t="s">
        <v>12</v>
      </c>
      <c r="C13" s="135"/>
      <c r="D13" s="106">
        <f>SUM(D8:D12)</f>
        <v>175.5</v>
      </c>
      <c r="E13" s="107">
        <f>SUM(E8:E12)</f>
        <v>170</v>
      </c>
      <c r="F13" s="1"/>
    </row>
    <row r="15" spans="1:23" ht="62.3" customHeight="1" x14ac:dyDescent="0.3">
      <c r="A15" s="9" t="s">
        <v>7</v>
      </c>
      <c r="B15" s="9" t="s">
        <v>8</v>
      </c>
      <c r="C15" s="23" t="s">
        <v>9</v>
      </c>
      <c r="D15" s="23" t="s">
        <v>10</v>
      </c>
      <c r="E15" s="90" t="s">
        <v>11</v>
      </c>
      <c r="F15" s="93" t="s">
        <v>28</v>
      </c>
      <c r="G15" s="45">
        <v>46120</v>
      </c>
      <c r="H15" s="45">
        <v>46121</v>
      </c>
      <c r="I15" s="45">
        <v>46122</v>
      </c>
      <c r="J15" s="45">
        <v>46123</v>
      </c>
      <c r="K15" s="45">
        <v>46124</v>
      </c>
      <c r="L15" s="45">
        <v>46125</v>
      </c>
      <c r="M15" s="45">
        <v>46126</v>
      </c>
      <c r="N15" s="45">
        <v>46127</v>
      </c>
      <c r="O15" s="45">
        <v>46128</v>
      </c>
      <c r="P15" s="45">
        <v>46129</v>
      </c>
      <c r="Q15" s="45">
        <v>46130</v>
      </c>
      <c r="R15" s="45">
        <v>46131</v>
      </c>
      <c r="S15" s="45">
        <v>46132</v>
      </c>
      <c r="T15" s="45">
        <v>46133</v>
      </c>
      <c r="U15" s="45">
        <v>46134</v>
      </c>
      <c r="V15" s="45">
        <v>46135</v>
      </c>
      <c r="W15" s="45">
        <v>46136</v>
      </c>
    </row>
    <row r="16" spans="1:23" x14ac:dyDescent="0.3">
      <c r="A16" s="129" t="s">
        <v>4</v>
      </c>
      <c r="B16" s="132" t="s">
        <v>71</v>
      </c>
      <c r="C16" s="132"/>
      <c r="D16" s="37" t="s">
        <v>64</v>
      </c>
      <c r="E16" s="91">
        <f>IF(NOT(ISNUMBER(E17)),0,
   IF(NOT(ISNUMBER(F17)),
      F16 + IFERROR(INDEX(G17:W17, MATCH(0, G16:W16, 0)), 0),
      F16
   )
)</f>
        <v>8</v>
      </c>
      <c r="F16" s="91">
        <v>8</v>
      </c>
      <c r="G16" s="39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</row>
    <row r="17" spans="1:23" x14ac:dyDescent="0.3">
      <c r="A17" s="129"/>
      <c r="B17" s="132" t="s">
        <v>72</v>
      </c>
      <c r="C17" s="132"/>
      <c r="D17" s="36" t="s">
        <v>76</v>
      </c>
      <c r="E17" s="91">
        <f t="shared" ref="E17:E18" si="0">IF(NOT(ISNUMBER(E18)),0,
   IF(NOT(ISNUMBER(F18)),
      F17 + IFERROR(INDEX(G18:W18, MATCH(0, G17:W17, 0)), 0),
      F17
   )
)</f>
        <v>5</v>
      </c>
      <c r="F17" s="91">
        <v>6</v>
      </c>
      <c r="G17" s="37">
        <v>4</v>
      </c>
      <c r="H17" s="39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1:23" x14ac:dyDescent="0.3">
      <c r="A18" s="129"/>
      <c r="B18" s="22"/>
      <c r="C18" s="22"/>
      <c r="D18" s="36"/>
      <c r="E18" s="91">
        <f t="shared" si="0"/>
        <v>0</v>
      </c>
      <c r="F18" s="91"/>
      <c r="G18" s="37"/>
      <c r="H18" s="41">
        <v>-1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3">
      <c r="A19" s="129"/>
      <c r="B19" s="132" t="s">
        <v>73</v>
      </c>
      <c r="C19" s="132"/>
      <c r="D19" s="37" t="s">
        <v>120</v>
      </c>
      <c r="E19" s="91">
        <f t="shared" ref="E19:E25" si="1">IF(NOT(ISNUMBER(E20)),0,
   IF(NOT(ISNUMBER(F20)),
      F19 + IFERROR(INDEX(G20:W20, MATCH(0, G19:W19, 0)), 0),
      F19
   )
)</f>
        <v>6</v>
      </c>
      <c r="F19" s="91">
        <v>6</v>
      </c>
      <c r="G19" s="37">
        <v>6</v>
      </c>
      <c r="H19" s="39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</row>
    <row r="20" spans="1:23" x14ac:dyDescent="0.3">
      <c r="A20" s="129"/>
      <c r="B20" s="129" t="s">
        <v>16</v>
      </c>
      <c r="C20" s="49" t="s">
        <v>74</v>
      </c>
      <c r="D20" s="36" t="s">
        <v>35</v>
      </c>
      <c r="E20" s="91">
        <f t="shared" si="1"/>
        <v>3</v>
      </c>
      <c r="F20" s="91">
        <v>3</v>
      </c>
      <c r="G20" s="37">
        <v>3</v>
      </c>
      <c r="H20" s="37">
        <v>3</v>
      </c>
      <c r="I20" s="37">
        <v>1.5</v>
      </c>
      <c r="J20" s="39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</row>
    <row r="21" spans="1:23" x14ac:dyDescent="0.3">
      <c r="A21" s="129"/>
      <c r="B21" s="129"/>
      <c r="C21" s="49" t="s">
        <v>75</v>
      </c>
      <c r="D21" s="36" t="s">
        <v>66</v>
      </c>
      <c r="E21" s="91">
        <f t="shared" si="1"/>
        <v>3</v>
      </c>
      <c r="F21" s="91">
        <v>3</v>
      </c>
      <c r="G21" s="37">
        <v>3</v>
      </c>
      <c r="H21" s="37">
        <v>3</v>
      </c>
      <c r="I21" s="37">
        <v>1.5</v>
      </c>
      <c r="J21" s="39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 x14ac:dyDescent="0.3">
      <c r="A22" s="129"/>
      <c r="B22" s="129"/>
      <c r="C22" s="49" t="s">
        <v>77</v>
      </c>
      <c r="D22" s="36" t="s">
        <v>67</v>
      </c>
      <c r="E22" s="91">
        <f t="shared" si="1"/>
        <v>4</v>
      </c>
      <c r="F22" s="91">
        <v>3</v>
      </c>
      <c r="G22" s="37">
        <v>3</v>
      </c>
      <c r="H22" s="37">
        <v>3</v>
      </c>
      <c r="I22" s="37">
        <v>1</v>
      </c>
      <c r="J22" s="39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</row>
    <row r="23" spans="1:23" x14ac:dyDescent="0.3">
      <c r="A23" s="129"/>
      <c r="B23" s="129"/>
      <c r="C23" s="49"/>
      <c r="D23" s="36"/>
      <c r="E23" s="91">
        <f t="shared" si="1"/>
        <v>0</v>
      </c>
      <c r="F23" s="91"/>
      <c r="G23" s="37"/>
      <c r="H23" s="37"/>
      <c r="I23" s="37"/>
      <c r="J23" s="40">
        <v>1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3">
      <c r="A24" s="129"/>
      <c r="B24" s="129"/>
      <c r="C24" s="49" t="s">
        <v>78</v>
      </c>
      <c r="D24" s="36" t="s">
        <v>65</v>
      </c>
      <c r="E24" s="91">
        <f t="shared" si="1"/>
        <v>3</v>
      </c>
      <c r="F24" s="91">
        <v>3</v>
      </c>
      <c r="G24" s="37">
        <v>3</v>
      </c>
      <c r="H24" s="37">
        <v>3</v>
      </c>
      <c r="I24" s="37">
        <v>1.5</v>
      </c>
      <c r="J24" s="39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ht="17.55" customHeight="1" x14ac:dyDescent="0.3">
      <c r="A25" s="129"/>
      <c r="B25" s="129"/>
      <c r="C25" s="49" t="s">
        <v>79</v>
      </c>
      <c r="D25" s="36" t="s">
        <v>68</v>
      </c>
      <c r="E25" s="91">
        <f t="shared" si="1"/>
        <v>4</v>
      </c>
      <c r="F25" s="91">
        <v>3</v>
      </c>
      <c r="G25" s="37">
        <v>3</v>
      </c>
      <c r="H25" s="37">
        <v>3</v>
      </c>
      <c r="I25" s="37">
        <v>1.5</v>
      </c>
      <c r="J25" s="39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</row>
    <row r="26" spans="1:23" ht="17.55" customHeight="1" x14ac:dyDescent="0.3">
      <c r="A26" s="129"/>
      <c r="B26" s="129"/>
      <c r="C26" s="49"/>
      <c r="D26" s="36"/>
      <c r="E26" s="91">
        <f t="shared" ref="E26:E63" si="2">IF(NOT(ISNUMBER(E27)),0,
   IF(NOT(ISNUMBER(F27)),
      F26 + IFERROR(INDEX(G27:W27, MATCH(0, G26:W26, 0)), 0),
      F26
   )
)</f>
        <v>0</v>
      </c>
      <c r="F26" s="91"/>
      <c r="G26" s="37"/>
      <c r="H26" s="37"/>
      <c r="I26" s="37"/>
      <c r="J26" s="40">
        <v>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3">
      <c r="A27" s="129"/>
      <c r="B27" s="129"/>
      <c r="C27" s="27" t="s">
        <v>80</v>
      </c>
      <c r="D27" s="37" t="s">
        <v>64</v>
      </c>
      <c r="E27" s="91">
        <f t="shared" si="2"/>
        <v>5</v>
      </c>
      <c r="F27" s="91">
        <v>5</v>
      </c>
      <c r="G27" s="37">
        <v>5</v>
      </c>
      <c r="H27" s="37">
        <v>5</v>
      </c>
      <c r="I27" s="37">
        <v>3</v>
      </c>
      <c r="J27" s="39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</row>
    <row r="28" spans="1:23" x14ac:dyDescent="0.3">
      <c r="A28" s="129"/>
      <c r="B28" s="129" t="s">
        <v>17</v>
      </c>
      <c r="C28" s="49" t="s">
        <v>74</v>
      </c>
      <c r="D28" s="36" t="s">
        <v>68</v>
      </c>
      <c r="E28" s="91">
        <f t="shared" si="2"/>
        <v>3</v>
      </c>
      <c r="F28" s="91">
        <v>3</v>
      </c>
      <c r="G28" s="37">
        <v>3</v>
      </c>
      <c r="H28" s="37">
        <v>3</v>
      </c>
      <c r="I28" s="37">
        <v>3</v>
      </c>
      <c r="J28" s="37">
        <v>3</v>
      </c>
      <c r="K28" s="37">
        <v>1</v>
      </c>
      <c r="L28" s="39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</row>
    <row r="29" spans="1:23" x14ac:dyDescent="0.3">
      <c r="A29" s="129"/>
      <c r="B29" s="129"/>
      <c r="C29" s="49" t="s">
        <v>75</v>
      </c>
      <c r="D29" s="36" t="s">
        <v>68</v>
      </c>
      <c r="E29" s="91">
        <f t="shared" si="2"/>
        <v>3</v>
      </c>
      <c r="F29" s="91">
        <v>3</v>
      </c>
      <c r="G29" s="37">
        <v>3</v>
      </c>
      <c r="H29" s="37">
        <v>3</v>
      </c>
      <c r="I29" s="37">
        <v>3</v>
      </c>
      <c r="J29" s="37">
        <v>3</v>
      </c>
      <c r="K29" s="37">
        <v>1</v>
      </c>
      <c r="L29" s="39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</row>
    <row r="30" spans="1:23" x14ac:dyDescent="0.3">
      <c r="A30" s="129"/>
      <c r="B30" s="129"/>
      <c r="C30" s="49" t="s">
        <v>77</v>
      </c>
      <c r="D30" s="36" t="s">
        <v>35</v>
      </c>
      <c r="E30" s="91">
        <f t="shared" si="2"/>
        <v>3</v>
      </c>
      <c r="F30" s="91">
        <v>3</v>
      </c>
      <c r="G30" s="37">
        <v>3</v>
      </c>
      <c r="H30" s="37">
        <v>3</v>
      </c>
      <c r="I30" s="37">
        <v>3</v>
      </c>
      <c r="J30" s="37">
        <v>3</v>
      </c>
      <c r="K30" s="37">
        <v>1</v>
      </c>
      <c r="L30" s="39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</row>
    <row r="31" spans="1:23" x14ac:dyDescent="0.3">
      <c r="A31" s="129"/>
      <c r="B31" s="129"/>
      <c r="C31" s="49" t="s">
        <v>78</v>
      </c>
      <c r="D31" s="36" t="s">
        <v>66</v>
      </c>
      <c r="E31" s="91">
        <f t="shared" si="2"/>
        <v>3</v>
      </c>
      <c r="F31" s="91">
        <v>3</v>
      </c>
      <c r="G31" s="37">
        <v>3</v>
      </c>
      <c r="H31" s="37">
        <v>3</v>
      </c>
      <c r="I31" s="37">
        <v>3</v>
      </c>
      <c r="J31" s="37">
        <v>3</v>
      </c>
      <c r="K31" s="37">
        <v>1</v>
      </c>
      <c r="L31" s="39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x14ac:dyDescent="0.3">
      <c r="A32" s="129"/>
      <c r="B32" s="129"/>
      <c r="C32" s="49" t="s">
        <v>79</v>
      </c>
      <c r="D32" s="36" t="s">
        <v>65</v>
      </c>
      <c r="E32" s="91">
        <f t="shared" si="2"/>
        <v>4</v>
      </c>
      <c r="F32" s="91">
        <v>3</v>
      </c>
      <c r="G32" s="37">
        <v>3</v>
      </c>
      <c r="H32" s="37">
        <v>3</v>
      </c>
      <c r="I32" s="37">
        <v>3</v>
      </c>
      <c r="J32" s="37">
        <v>3</v>
      </c>
      <c r="K32" s="37">
        <v>1</v>
      </c>
      <c r="L32" s="39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</row>
    <row r="33" spans="1:23" x14ac:dyDescent="0.3">
      <c r="A33" s="129"/>
      <c r="B33" s="129"/>
      <c r="C33" s="49"/>
      <c r="D33" s="36"/>
      <c r="E33" s="91">
        <f t="shared" si="2"/>
        <v>0</v>
      </c>
      <c r="F33" s="91"/>
      <c r="G33" s="37"/>
      <c r="H33" s="37"/>
      <c r="I33" s="37"/>
      <c r="J33" s="37"/>
      <c r="K33" s="37"/>
      <c r="L33" s="40">
        <v>1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3">
      <c r="A34" s="129"/>
      <c r="B34" s="129"/>
      <c r="C34" s="27" t="s">
        <v>81</v>
      </c>
      <c r="D34" s="37" t="s">
        <v>64</v>
      </c>
      <c r="E34" s="91">
        <f t="shared" si="2"/>
        <v>5</v>
      </c>
      <c r="F34" s="91">
        <v>5</v>
      </c>
      <c r="G34" s="37">
        <v>5</v>
      </c>
      <c r="H34" s="37">
        <v>5</v>
      </c>
      <c r="I34" s="37">
        <v>5</v>
      </c>
      <c r="J34" s="37">
        <v>5</v>
      </c>
      <c r="K34" s="37">
        <v>5</v>
      </c>
      <c r="L34" s="39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 x14ac:dyDescent="0.3">
      <c r="A35" s="129"/>
      <c r="B35" s="129" t="s">
        <v>18</v>
      </c>
      <c r="C35" s="49" t="s">
        <v>82</v>
      </c>
      <c r="D35" s="36" t="s">
        <v>35</v>
      </c>
      <c r="E35" s="91">
        <f t="shared" si="2"/>
        <v>5</v>
      </c>
      <c r="F35" s="91">
        <v>5</v>
      </c>
      <c r="G35" s="37">
        <v>5</v>
      </c>
      <c r="H35" s="37">
        <v>5</v>
      </c>
      <c r="I35" s="37">
        <v>5</v>
      </c>
      <c r="J35" s="37">
        <v>5</v>
      </c>
      <c r="K35" s="37">
        <v>5</v>
      </c>
      <c r="L35" s="37">
        <v>5</v>
      </c>
      <c r="M35" s="37">
        <v>3</v>
      </c>
      <c r="N35" s="37">
        <v>1</v>
      </c>
      <c r="O35" s="39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</row>
    <row r="36" spans="1:23" x14ac:dyDescent="0.3">
      <c r="A36" s="129"/>
      <c r="B36" s="129"/>
      <c r="C36" s="49" t="s">
        <v>83</v>
      </c>
      <c r="D36" s="36" t="s">
        <v>66</v>
      </c>
      <c r="E36" s="91">
        <f t="shared" si="2"/>
        <v>5</v>
      </c>
      <c r="F36" s="91">
        <v>5</v>
      </c>
      <c r="G36" s="37">
        <v>5</v>
      </c>
      <c r="H36" s="37">
        <v>5</v>
      </c>
      <c r="I36" s="37">
        <v>5</v>
      </c>
      <c r="J36" s="37">
        <v>5</v>
      </c>
      <c r="K36" s="37">
        <v>5</v>
      </c>
      <c r="L36" s="37">
        <v>5</v>
      </c>
      <c r="M36" s="37">
        <v>3</v>
      </c>
      <c r="N36" s="37">
        <v>1</v>
      </c>
      <c r="O36" s="39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</row>
    <row r="37" spans="1:23" x14ac:dyDescent="0.3">
      <c r="A37" s="129"/>
      <c r="B37" s="129"/>
      <c r="C37" s="49" t="s">
        <v>84</v>
      </c>
      <c r="D37" s="36" t="s">
        <v>67</v>
      </c>
      <c r="E37" s="91">
        <f t="shared" si="2"/>
        <v>5</v>
      </c>
      <c r="F37" s="91">
        <v>5</v>
      </c>
      <c r="G37" s="37">
        <v>5</v>
      </c>
      <c r="H37" s="37">
        <v>5</v>
      </c>
      <c r="I37" s="37">
        <v>5</v>
      </c>
      <c r="J37" s="37">
        <v>5</v>
      </c>
      <c r="K37" s="37">
        <v>5</v>
      </c>
      <c r="L37" s="37">
        <v>5</v>
      </c>
      <c r="M37" s="37">
        <v>3</v>
      </c>
      <c r="N37" s="37">
        <v>1</v>
      </c>
      <c r="O37" s="39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</row>
    <row r="38" spans="1:23" x14ac:dyDescent="0.3">
      <c r="A38" s="129"/>
      <c r="B38" s="129"/>
      <c r="C38" s="49" t="s">
        <v>85</v>
      </c>
      <c r="D38" s="36" t="s">
        <v>65</v>
      </c>
      <c r="E38" s="91">
        <f t="shared" si="2"/>
        <v>6</v>
      </c>
      <c r="F38" s="91">
        <v>5</v>
      </c>
      <c r="G38" s="37">
        <v>5</v>
      </c>
      <c r="H38" s="37">
        <v>5</v>
      </c>
      <c r="I38" s="37">
        <v>5</v>
      </c>
      <c r="J38" s="37">
        <v>5</v>
      </c>
      <c r="K38" s="37">
        <v>5</v>
      </c>
      <c r="L38" s="37">
        <v>5</v>
      </c>
      <c r="M38" s="37">
        <v>3</v>
      </c>
      <c r="N38" s="37">
        <v>1</v>
      </c>
      <c r="O38" s="39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</row>
    <row r="39" spans="1:23" x14ac:dyDescent="0.3">
      <c r="A39" s="129"/>
      <c r="B39" s="129"/>
      <c r="C39" s="49"/>
      <c r="D39" s="36"/>
      <c r="E39" s="91">
        <f t="shared" si="2"/>
        <v>0</v>
      </c>
      <c r="F39" s="91"/>
      <c r="G39" s="37"/>
      <c r="H39" s="37"/>
      <c r="I39" s="37"/>
      <c r="J39" s="37"/>
      <c r="K39" s="37"/>
      <c r="L39" s="37"/>
      <c r="M39" s="37"/>
      <c r="N39" s="37"/>
      <c r="O39" s="40">
        <v>1</v>
      </c>
      <c r="P39" s="12"/>
      <c r="Q39" s="12"/>
      <c r="R39" s="12"/>
      <c r="S39" s="12"/>
      <c r="T39" s="12"/>
      <c r="U39" s="12"/>
      <c r="V39" s="12"/>
      <c r="W39" s="12"/>
    </row>
    <row r="40" spans="1:23" x14ac:dyDescent="0.3">
      <c r="A40" s="129"/>
      <c r="B40" s="129"/>
      <c r="C40" s="49" t="s">
        <v>86</v>
      </c>
      <c r="D40" s="36" t="s">
        <v>68</v>
      </c>
      <c r="E40" s="91">
        <f t="shared" si="2"/>
        <v>5</v>
      </c>
      <c r="F40" s="91">
        <v>5</v>
      </c>
      <c r="G40" s="37">
        <v>5</v>
      </c>
      <c r="H40" s="37">
        <v>5</v>
      </c>
      <c r="I40" s="37">
        <v>5</v>
      </c>
      <c r="J40" s="37">
        <v>5</v>
      </c>
      <c r="K40" s="37">
        <v>5</v>
      </c>
      <c r="L40" s="37">
        <v>5</v>
      </c>
      <c r="M40" s="37">
        <v>3</v>
      </c>
      <c r="N40" s="37">
        <v>1</v>
      </c>
      <c r="O40" s="39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</row>
    <row r="41" spans="1:23" x14ac:dyDescent="0.3">
      <c r="A41" s="129"/>
      <c r="B41" s="129"/>
      <c r="C41" s="49" t="s">
        <v>87</v>
      </c>
      <c r="D41" s="36" t="s">
        <v>35</v>
      </c>
      <c r="E41" s="91">
        <f t="shared" si="2"/>
        <v>6</v>
      </c>
      <c r="F41" s="91">
        <v>5</v>
      </c>
      <c r="G41" s="37">
        <v>5</v>
      </c>
      <c r="H41" s="37">
        <v>5</v>
      </c>
      <c r="I41" s="37">
        <v>5</v>
      </c>
      <c r="J41" s="37">
        <v>5</v>
      </c>
      <c r="K41" s="37">
        <v>5</v>
      </c>
      <c r="L41" s="37">
        <v>5</v>
      </c>
      <c r="M41" s="37">
        <v>5</v>
      </c>
      <c r="N41" s="37">
        <v>5</v>
      </c>
      <c r="O41" s="37">
        <v>4</v>
      </c>
      <c r="P41" s="37">
        <v>2</v>
      </c>
      <c r="Q41" s="37">
        <v>1</v>
      </c>
      <c r="R41" s="39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</row>
    <row r="42" spans="1:23" x14ac:dyDescent="0.3">
      <c r="A42" s="129"/>
      <c r="B42" s="129"/>
      <c r="C42" s="49"/>
      <c r="D42" s="36"/>
      <c r="E42" s="91">
        <f t="shared" si="2"/>
        <v>0</v>
      </c>
      <c r="F42" s="91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40">
        <v>1</v>
      </c>
      <c r="S42" s="12"/>
      <c r="T42" s="12"/>
      <c r="U42" s="12"/>
      <c r="V42" s="12"/>
      <c r="W42" s="12"/>
    </row>
    <row r="43" spans="1:23" x14ac:dyDescent="0.3">
      <c r="A43" s="129"/>
      <c r="B43" s="129"/>
      <c r="C43" s="49" t="s">
        <v>88</v>
      </c>
      <c r="D43" s="36" t="s">
        <v>66</v>
      </c>
      <c r="E43" s="91">
        <f t="shared" si="2"/>
        <v>5</v>
      </c>
      <c r="F43" s="91">
        <v>5</v>
      </c>
      <c r="G43" s="37">
        <v>5</v>
      </c>
      <c r="H43" s="37">
        <v>5</v>
      </c>
      <c r="I43" s="37">
        <v>5</v>
      </c>
      <c r="J43" s="37">
        <v>5</v>
      </c>
      <c r="K43" s="37">
        <v>5</v>
      </c>
      <c r="L43" s="37">
        <v>5</v>
      </c>
      <c r="M43" s="37">
        <v>5</v>
      </c>
      <c r="N43" s="37">
        <v>5</v>
      </c>
      <c r="O43" s="37">
        <v>4</v>
      </c>
      <c r="P43" s="37">
        <v>2</v>
      </c>
      <c r="Q43" s="37">
        <v>1</v>
      </c>
      <c r="R43" s="39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</row>
    <row r="44" spans="1:23" x14ac:dyDescent="0.3">
      <c r="A44" s="129"/>
      <c r="B44" s="129"/>
      <c r="C44" s="49" t="s">
        <v>89</v>
      </c>
      <c r="D44" s="36" t="s">
        <v>67</v>
      </c>
      <c r="E44" s="91">
        <f>IF(NOT(ISNUMBER(E45)),0,
   IF(NOT(ISNUMBER(F45)),
      F44 + IFERROR(INDEX(G45:W45, MATCH(0, G44:W44, 0)), 0),
      F44
   )
)</f>
        <v>5</v>
      </c>
      <c r="F44" s="91">
        <v>5</v>
      </c>
      <c r="G44" s="37">
        <v>5</v>
      </c>
      <c r="H44" s="37">
        <v>5</v>
      </c>
      <c r="I44" s="37">
        <v>5</v>
      </c>
      <c r="J44" s="37">
        <v>5</v>
      </c>
      <c r="K44" s="37">
        <v>5</v>
      </c>
      <c r="L44" s="37">
        <v>5</v>
      </c>
      <c r="M44" s="37">
        <v>5</v>
      </c>
      <c r="N44" s="37">
        <v>5</v>
      </c>
      <c r="O44" s="37">
        <v>4</v>
      </c>
      <c r="P44" s="37">
        <v>2</v>
      </c>
      <c r="Q44" s="37">
        <v>1</v>
      </c>
      <c r="R44" s="39">
        <v>0</v>
      </c>
      <c r="S44" s="12"/>
      <c r="T44" s="12"/>
      <c r="U44" s="12"/>
      <c r="V44" s="12"/>
      <c r="W44" s="12"/>
    </row>
    <row r="45" spans="1:23" x14ac:dyDescent="0.3">
      <c r="A45" s="129"/>
      <c r="B45" s="129"/>
      <c r="C45" s="49" t="s">
        <v>90</v>
      </c>
      <c r="D45" s="36" t="s">
        <v>65</v>
      </c>
      <c r="E45" s="91">
        <f t="shared" si="2"/>
        <v>5</v>
      </c>
      <c r="F45" s="91">
        <v>5</v>
      </c>
      <c r="G45" s="37">
        <v>5</v>
      </c>
      <c r="H45" s="37">
        <v>5</v>
      </c>
      <c r="I45" s="37">
        <v>5</v>
      </c>
      <c r="J45" s="37">
        <v>5</v>
      </c>
      <c r="K45" s="37">
        <v>5</v>
      </c>
      <c r="L45" s="37">
        <v>5</v>
      </c>
      <c r="M45" s="37">
        <v>5</v>
      </c>
      <c r="N45" s="37">
        <v>5</v>
      </c>
      <c r="O45" s="37">
        <v>4</v>
      </c>
      <c r="P45" s="37">
        <v>2</v>
      </c>
      <c r="Q45" s="37">
        <v>1</v>
      </c>
      <c r="R45" s="39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x14ac:dyDescent="0.3">
      <c r="A46" s="129"/>
      <c r="B46" s="129"/>
      <c r="C46" s="49" t="s">
        <v>91</v>
      </c>
      <c r="D46" s="36" t="s">
        <v>68</v>
      </c>
      <c r="E46" s="91">
        <f t="shared" si="2"/>
        <v>5</v>
      </c>
      <c r="F46" s="91">
        <v>5</v>
      </c>
      <c r="G46" s="37">
        <v>5</v>
      </c>
      <c r="H46" s="37">
        <v>5</v>
      </c>
      <c r="I46" s="37">
        <v>5</v>
      </c>
      <c r="J46" s="37">
        <v>5</v>
      </c>
      <c r="K46" s="37">
        <v>5</v>
      </c>
      <c r="L46" s="37">
        <v>5</v>
      </c>
      <c r="M46" s="37">
        <v>5</v>
      </c>
      <c r="N46" s="37">
        <v>5</v>
      </c>
      <c r="O46" s="37">
        <v>4</v>
      </c>
      <c r="P46" s="37">
        <v>2</v>
      </c>
      <c r="Q46" s="37">
        <v>1</v>
      </c>
      <c r="R46" s="39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x14ac:dyDescent="0.3">
      <c r="A47" s="129"/>
      <c r="B47" s="129"/>
      <c r="C47" s="27" t="s">
        <v>63</v>
      </c>
      <c r="D47" s="37" t="s">
        <v>64</v>
      </c>
      <c r="E47" s="91">
        <f t="shared" si="2"/>
        <v>10</v>
      </c>
      <c r="F47" s="91">
        <v>10</v>
      </c>
      <c r="G47" s="37">
        <v>10</v>
      </c>
      <c r="H47" s="37">
        <v>10</v>
      </c>
      <c r="I47" s="37">
        <v>10</v>
      </c>
      <c r="J47" s="37">
        <v>10</v>
      </c>
      <c r="K47" s="37">
        <v>10</v>
      </c>
      <c r="L47" s="37">
        <v>10</v>
      </c>
      <c r="M47" s="37">
        <v>10</v>
      </c>
      <c r="N47" s="37">
        <v>10</v>
      </c>
      <c r="O47" s="37">
        <v>10</v>
      </c>
      <c r="P47" s="37">
        <v>10</v>
      </c>
      <c r="Q47" s="37">
        <v>5</v>
      </c>
      <c r="R47" s="39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</row>
    <row r="48" spans="1:23" x14ac:dyDescent="0.3">
      <c r="A48" s="129"/>
      <c r="B48" s="129" t="s">
        <v>19</v>
      </c>
      <c r="C48" s="49" t="s">
        <v>74</v>
      </c>
      <c r="D48" s="36" t="s">
        <v>67</v>
      </c>
      <c r="E48" s="91">
        <f t="shared" si="2"/>
        <v>4</v>
      </c>
      <c r="F48" s="91">
        <v>4</v>
      </c>
      <c r="G48" s="37">
        <v>4</v>
      </c>
      <c r="H48" s="37">
        <v>4</v>
      </c>
      <c r="I48" s="37">
        <v>4</v>
      </c>
      <c r="J48" s="37">
        <v>4</v>
      </c>
      <c r="K48" s="37">
        <v>4</v>
      </c>
      <c r="L48" s="37">
        <v>4</v>
      </c>
      <c r="M48" s="37">
        <v>4</v>
      </c>
      <c r="N48" s="37">
        <v>4</v>
      </c>
      <c r="O48" s="37">
        <v>4</v>
      </c>
      <c r="P48" s="37">
        <v>4</v>
      </c>
      <c r="Q48" s="37">
        <v>4</v>
      </c>
      <c r="R48" s="37">
        <v>4</v>
      </c>
      <c r="S48" s="37">
        <v>2</v>
      </c>
      <c r="T48" s="39">
        <v>0</v>
      </c>
      <c r="U48" s="12">
        <v>0</v>
      </c>
      <c r="V48" s="12">
        <v>0</v>
      </c>
      <c r="W48" s="12">
        <v>0</v>
      </c>
    </row>
    <row r="49" spans="1:23" x14ac:dyDescent="0.3">
      <c r="A49" s="129"/>
      <c r="B49" s="129"/>
      <c r="C49" s="49" t="s">
        <v>75</v>
      </c>
      <c r="D49" s="36" t="s">
        <v>68</v>
      </c>
      <c r="E49" s="91">
        <f t="shared" si="2"/>
        <v>3.5</v>
      </c>
      <c r="F49" s="91">
        <v>4</v>
      </c>
      <c r="G49" s="37">
        <v>4</v>
      </c>
      <c r="H49" s="37">
        <v>4</v>
      </c>
      <c r="I49" s="37">
        <v>4</v>
      </c>
      <c r="J49" s="37">
        <v>4</v>
      </c>
      <c r="K49" s="37">
        <v>4</v>
      </c>
      <c r="L49" s="37">
        <v>4</v>
      </c>
      <c r="M49" s="37">
        <v>4</v>
      </c>
      <c r="N49" s="37">
        <v>4</v>
      </c>
      <c r="O49" s="37">
        <v>4</v>
      </c>
      <c r="P49" s="37">
        <v>4</v>
      </c>
      <c r="Q49" s="37">
        <v>4</v>
      </c>
      <c r="R49" s="37">
        <v>4</v>
      </c>
      <c r="S49" s="37">
        <v>2</v>
      </c>
      <c r="T49" s="39">
        <v>0</v>
      </c>
      <c r="U49" s="12">
        <v>0</v>
      </c>
      <c r="V49" s="12">
        <v>0</v>
      </c>
      <c r="W49" s="12">
        <v>0</v>
      </c>
    </row>
    <row r="50" spans="1:23" x14ac:dyDescent="0.3">
      <c r="A50" s="129"/>
      <c r="B50" s="129"/>
      <c r="C50" s="49"/>
      <c r="D50" s="36"/>
      <c r="E50" s="91">
        <f t="shared" si="2"/>
        <v>0</v>
      </c>
      <c r="F50" s="91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41">
        <v>-0.5</v>
      </c>
      <c r="U50" s="12"/>
      <c r="V50" s="12"/>
      <c r="W50" s="12"/>
    </row>
    <row r="51" spans="1:23" x14ac:dyDescent="0.3">
      <c r="A51" s="129"/>
      <c r="B51" s="129"/>
      <c r="C51" s="49" t="s">
        <v>77</v>
      </c>
      <c r="D51" s="36" t="s">
        <v>35</v>
      </c>
      <c r="E51" s="91">
        <f t="shared" si="2"/>
        <v>5</v>
      </c>
      <c r="F51" s="91">
        <v>4</v>
      </c>
      <c r="G51" s="37">
        <v>4</v>
      </c>
      <c r="H51" s="37">
        <v>4</v>
      </c>
      <c r="I51" s="37">
        <v>4</v>
      </c>
      <c r="J51" s="37">
        <v>4</v>
      </c>
      <c r="K51" s="37">
        <v>4</v>
      </c>
      <c r="L51" s="37">
        <v>4</v>
      </c>
      <c r="M51" s="37">
        <v>4</v>
      </c>
      <c r="N51" s="37">
        <v>4</v>
      </c>
      <c r="O51" s="37">
        <v>4</v>
      </c>
      <c r="P51" s="37">
        <v>4</v>
      </c>
      <c r="Q51" s="37">
        <v>4</v>
      </c>
      <c r="R51" s="37">
        <v>4</v>
      </c>
      <c r="S51" s="37">
        <v>2</v>
      </c>
      <c r="T51" s="39">
        <v>0</v>
      </c>
      <c r="U51" s="12">
        <v>0</v>
      </c>
      <c r="V51" s="12">
        <v>0</v>
      </c>
      <c r="W51" s="12">
        <v>0</v>
      </c>
    </row>
    <row r="52" spans="1:23" x14ac:dyDescent="0.3">
      <c r="A52" s="129"/>
      <c r="B52" s="129"/>
      <c r="C52" s="49"/>
      <c r="D52" s="36"/>
      <c r="E52" s="91">
        <f t="shared" si="2"/>
        <v>0</v>
      </c>
      <c r="F52" s="91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40">
        <v>1</v>
      </c>
      <c r="U52" s="12"/>
      <c r="V52" s="12"/>
      <c r="W52" s="12"/>
    </row>
    <row r="53" spans="1:23" ht="17.7" customHeight="1" x14ac:dyDescent="0.3">
      <c r="A53" s="129"/>
      <c r="B53" s="129"/>
      <c r="C53" s="49" t="s">
        <v>78</v>
      </c>
      <c r="D53" s="36" t="s">
        <v>66</v>
      </c>
      <c r="E53" s="91">
        <f t="shared" si="2"/>
        <v>4</v>
      </c>
      <c r="F53" s="91">
        <v>4</v>
      </c>
      <c r="G53" s="37">
        <v>4</v>
      </c>
      <c r="H53" s="37">
        <v>4</v>
      </c>
      <c r="I53" s="37">
        <v>4</v>
      </c>
      <c r="J53" s="37">
        <v>4</v>
      </c>
      <c r="K53" s="37">
        <v>4</v>
      </c>
      <c r="L53" s="37">
        <v>4</v>
      </c>
      <c r="M53" s="37">
        <v>4</v>
      </c>
      <c r="N53" s="37">
        <v>4</v>
      </c>
      <c r="O53" s="37">
        <v>4</v>
      </c>
      <c r="P53" s="37">
        <v>4</v>
      </c>
      <c r="Q53" s="37">
        <v>4</v>
      </c>
      <c r="R53" s="37">
        <v>4</v>
      </c>
      <c r="S53" s="37">
        <v>2</v>
      </c>
      <c r="T53" s="39">
        <v>0</v>
      </c>
      <c r="U53" s="12">
        <v>0</v>
      </c>
      <c r="V53" s="12">
        <v>0</v>
      </c>
      <c r="W53" s="12">
        <v>0</v>
      </c>
    </row>
    <row r="54" spans="1:23" x14ac:dyDescent="0.3">
      <c r="A54" s="129"/>
      <c r="B54" s="129"/>
      <c r="C54" s="49" t="s">
        <v>79</v>
      </c>
      <c r="D54" s="36" t="s">
        <v>65</v>
      </c>
      <c r="E54" s="91">
        <f t="shared" si="2"/>
        <v>3.5</v>
      </c>
      <c r="F54" s="91">
        <v>4</v>
      </c>
      <c r="G54" s="37">
        <v>4</v>
      </c>
      <c r="H54" s="37">
        <v>4</v>
      </c>
      <c r="I54" s="37">
        <v>4</v>
      </c>
      <c r="J54" s="37">
        <v>4</v>
      </c>
      <c r="K54" s="37">
        <v>4</v>
      </c>
      <c r="L54" s="37">
        <v>4</v>
      </c>
      <c r="M54" s="37">
        <v>4</v>
      </c>
      <c r="N54" s="37">
        <v>4</v>
      </c>
      <c r="O54" s="37">
        <v>4</v>
      </c>
      <c r="P54" s="37">
        <v>4</v>
      </c>
      <c r="Q54" s="37">
        <v>4</v>
      </c>
      <c r="R54" s="37">
        <v>4</v>
      </c>
      <c r="S54" s="37">
        <v>2</v>
      </c>
      <c r="T54" s="39">
        <v>0</v>
      </c>
      <c r="U54" s="12">
        <v>0</v>
      </c>
      <c r="V54" s="12">
        <v>0</v>
      </c>
      <c r="W54" s="12">
        <v>0</v>
      </c>
    </row>
    <row r="55" spans="1:23" x14ac:dyDescent="0.3">
      <c r="A55" s="129"/>
      <c r="B55" s="38"/>
      <c r="C55" s="49"/>
      <c r="D55" s="36"/>
      <c r="E55" s="91">
        <f t="shared" si="2"/>
        <v>0</v>
      </c>
      <c r="F55" s="91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41">
        <v>-0.5</v>
      </c>
      <c r="U55" s="12"/>
      <c r="V55" s="12"/>
      <c r="W55" s="12"/>
    </row>
    <row r="56" spans="1:23" x14ac:dyDescent="0.3">
      <c r="A56" s="129"/>
      <c r="B56" s="129" t="s">
        <v>20</v>
      </c>
      <c r="C56" s="49" t="s">
        <v>74</v>
      </c>
      <c r="D56" s="36" t="s">
        <v>35</v>
      </c>
      <c r="E56" s="91">
        <f t="shared" si="2"/>
        <v>1.5</v>
      </c>
      <c r="F56" s="91">
        <v>2</v>
      </c>
      <c r="G56" s="37">
        <v>2</v>
      </c>
      <c r="H56" s="37">
        <v>2</v>
      </c>
      <c r="I56" s="37">
        <v>2</v>
      </c>
      <c r="J56" s="37">
        <v>2</v>
      </c>
      <c r="K56" s="37">
        <v>2</v>
      </c>
      <c r="L56" s="37">
        <v>2</v>
      </c>
      <c r="M56" s="37">
        <v>2</v>
      </c>
      <c r="N56" s="37">
        <v>2</v>
      </c>
      <c r="O56" s="37">
        <v>2</v>
      </c>
      <c r="P56" s="37">
        <v>2</v>
      </c>
      <c r="Q56" s="37">
        <v>2</v>
      </c>
      <c r="R56" s="37">
        <v>2</v>
      </c>
      <c r="S56" s="37">
        <v>2</v>
      </c>
      <c r="T56" s="37">
        <v>2</v>
      </c>
      <c r="U56" s="39">
        <v>0</v>
      </c>
      <c r="V56" s="12">
        <v>0</v>
      </c>
      <c r="W56" s="12">
        <v>0</v>
      </c>
    </row>
    <row r="57" spans="1:23" x14ac:dyDescent="0.3">
      <c r="A57" s="129"/>
      <c r="B57" s="129"/>
      <c r="C57" s="49"/>
      <c r="D57" s="36"/>
      <c r="E57" s="91">
        <f t="shared" si="2"/>
        <v>0</v>
      </c>
      <c r="F57" s="91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41">
        <v>-0.5</v>
      </c>
      <c r="V57" s="12"/>
      <c r="W57" s="12"/>
    </row>
    <row r="58" spans="1:23" x14ac:dyDescent="0.3">
      <c r="A58" s="129"/>
      <c r="B58" s="129"/>
      <c r="C58" s="49" t="s">
        <v>75</v>
      </c>
      <c r="D58" s="36" t="s">
        <v>66</v>
      </c>
      <c r="E58" s="91">
        <f t="shared" si="2"/>
        <v>2</v>
      </c>
      <c r="F58" s="91">
        <v>2</v>
      </c>
      <c r="G58" s="37">
        <v>2</v>
      </c>
      <c r="H58" s="37">
        <v>2</v>
      </c>
      <c r="I58" s="37">
        <v>2</v>
      </c>
      <c r="J58" s="37">
        <v>2</v>
      </c>
      <c r="K58" s="37">
        <v>2</v>
      </c>
      <c r="L58" s="37">
        <v>2</v>
      </c>
      <c r="M58" s="37">
        <v>2</v>
      </c>
      <c r="N58" s="37">
        <v>2</v>
      </c>
      <c r="O58" s="37">
        <v>2</v>
      </c>
      <c r="P58" s="37">
        <v>2</v>
      </c>
      <c r="Q58" s="37">
        <v>2</v>
      </c>
      <c r="R58" s="37">
        <v>2</v>
      </c>
      <c r="S58" s="37">
        <v>2</v>
      </c>
      <c r="T58" s="37">
        <v>2</v>
      </c>
      <c r="U58" s="39">
        <v>0</v>
      </c>
      <c r="V58" s="12">
        <v>0</v>
      </c>
      <c r="W58" s="12">
        <v>0</v>
      </c>
    </row>
    <row r="59" spans="1:23" x14ac:dyDescent="0.3">
      <c r="A59" s="129"/>
      <c r="B59" s="129"/>
      <c r="C59" s="49" t="s">
        <v>77</v>
      </c>
      <c r="D59" s="36" t="s">
        <v>67</v>
      </c>
      <c r="E59" s="91">
        <f>IF(NOT(ISNUMBER(E60)),0,
   IF(NOT(ISNUMBER(F60)),
      F59 + IFERROR(INDEX(G60:W60, MATCH(0, G59:W59, 0)), 0),
      F59
   )
)</f>
        <v>3</v>
      </c>
      <c r="F59" s="91">
        <v>2</v>
      </c>
      <c r="G59" s="37">
        <v>2</v>
      </c>
      <c r="H59" s="37">
        <v>2</v>
      </c>
      <c r="I59" s="37">
        <v>2</v>
      </c>
      <c r="J59" s="37">
        <v>2</v>
      </c>
      <c r="K59" s="37">
        <v>2</v>
      </c>
      <c r="L59" s="37">
        <v>2</v>
      </c>
      <c r="M59" s="37">
        <v>2</v>
      </c>
      <c r="N59" s="37">
        <v>2</v>
      </c>
      <c r="O59" s="37">
        <v>2</v>
      </c>
      <c r="P59" s="37">
        <v>2</v>
      </c>
      <c r="Q59" s="37">
        <v>2</v>
      </c>
      <c r="R59" s="37">
        <v>2</v>
      </c>
      <c r="S59" s="37">
        <v>2</v>
      </c>
      <c r="T59" s="37">
        <v>2</v>
      </c>
      <c r="U59" s="39">
        <v>0</v>
      </c>
      <c r="V59" s="12">
        <v>0</v>
      </c>
      <c r="W59" s="12">
        <v>0</v>
      </c>
    </row>
    <row r="60" spans="1:23" x14ac:dyDescent="0.3">
      <c r="A60" s="129"/>
      <c r="B60" s="129"/>
      <c r="C60" s="49"/>
      <c r="D60" s="36"/>
      <c r="E60" s="91">
        <f t="shared" si="2"/>
        <v>0</v>
      </c>
      <c r="F60" s="91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40">
        <v>1</v>
      </c>
      <c r="V60" s="12"/>
      <c r="W60" s="12"/>
    </row>
    <row r="61" spans="1:23" x14ac:dyDescent="0.3">
      <c r="A61" s="129"/>
      <c r="B61" s="129"/>
      <c r="C61" s="49" t="s">
        <v>78</v>
      </c>
      <c r="D61" s="36" t="s">
        <v>65</v>
      </c>
      <c r="E61" s="91">
        <f t="shared" si="2"/>
        <v>2</v>
      </c>
      <c r="F61" s="91">
        <v>2</v>
      </c>
      <c r="G61" s="37">
        <v>2</v>
      </c>
      <c r="H61" s="37">
        <v>2</v>
      </c>
      <c r="I61" s="37">
        <v>2</v>
      </c>
      <c r="J61" s="37">
        <v>2</v>
      </c>
      <c r="K61" s="37">
        <v>2</v>
      </c>
      <c r="L61" s="37">
        <v>2</v>
      </c>
      <c r="M61" s="37">
        <v>2</v>
      </c>
      <c r="N61" s="37">
        <v>2</v>
      </c>
      <c r="O61" s="37">
        <v>2</v>
      </c>
      <c r="P61" s="37">
        <v>2</v>
      </c>
      <c r="Q61" s="37">
        <v>2</v>
      </c>
      <c r="R61" s="37">
        <v>2</v>
      </c>
      <c r="S61" s="37">
        <v>2</v>
      </c>
      <c r="T61" s="37">
        <v>2</v>
      </c>
      <c r="U61" s="39">
        <v>0</v>
      </c>
      <c r="V61" s="12">
        <v>0</v>
      </c>
      <c r="W61" s="12">
        <v>0</v>
      </c>
    </row>
    <row r="62" spans="1:23" x14ac:dyDescent="0.3">
      <c r="A62" s="129"/>
      <c r="B62" s="129"/>
      <c r="C62" s="49" t="s">
        <v>79</v>
      </c>
      <c r="D62" s="36" t="s">
        <v>68</v>
      </c>
      <c r="E62" s="91">
        <f t="shared" si="2"/>
        <v>2</v>
      </c>
      <c r="F62" s="91">
        <v>2</v>
      </c>
      <c r="G62" s="37">
        <v>2</v>
      </c>
      <c r="H62" s="37">
        <v>2</v>
      </c>
      <c r="I62" s="37">
        <v>2</v>
      </c>
      <c r="J62" s="37">
        <v>2</v>
      </c>
      <c r="K62" s="37">
        <v>2</v>
      </c>
      <c r="L62" s="37">
        <v>2</v>
      </c>
      <c r="M62" s="37">
        <v>2</v>
      </c>
      <c r="N62" s="37">
        <v>2</v>
      </c>
      <c r="O62" s="37">
        <v>2</v>
      </c>
      <c r="P62" s="37">
        <v>2</v>
      </c>
      <c r="Q62" s="37">
        <v>2</v>
      </c>
      <c r="R62" s="37">
        <v>2</v>
      </c>
      <c r="S62" s="37">
        <v>2</v>
      </c>
      <c r="T62" s="37">
        <v>2</v>
      </c>
      <c r="U62" s="39">
        <v>0</v>
      </c>
      <c r="V62" s="12">
        <v>0</v>
      </c>
      <c r="W62" s="12">
        <v>0</v>
      </c>
    </row>
    <row r="63" spans="1:23" x14ac:dyDescent="0.3">
      <c r="A63" s="129"/>
      <c r="B63" s="129" t="s">
        <v>26</v>
      </c>
      <c r="C63" s="26" t="s">
        <v>74</v>
      </c>
      <c r="D63" s="36" t="s">
        <v>67</v>
      </c>
      <c r="E63" s="91">
        <f t="shared" si="2"/>
        <v>2</v>
      </c>
      <c r="F63" s="91">
        <v>2</v>
      </c>
      <c r="G63" s="37">
        <v>2</v>
      </c>
      <c r="H63" s="37">
        <v>2</v>
      </c>
      <c r="I63" s="37">
        <v>2</v>
      </c>
      <c r="J63" s="37">
        <v>2</v>
      </c>
      <c r="K63" s="37">
        <v>2</v>
      </c>
      <c r="L63" s="37">
        <v>2</v>
      </c>
      <c r="M63" s="37">
        <v>2</v>
      </c>
      <c r="N63" s="37">
        <v>2</v>
      </c>
      <c r="O63" s="37">
        <v>2</v>
      </c>
      <c r="P63" s="37">
        <v>2</v>
      </c>
      <c r="Q63" s="37">
        <v>2</v>
      </c>
      <c r="R63" s="37">
        <v>2</v>
      </c>
      <c r="S63" s="37">
        <v>2</v>
      </c>
      <c r="T63" s="37">
        <v>2</v>
      </c>
      <c r="U63" s="37">
        <v>2</v>
      </c>
      <c r="V63" s="39">
        <v>0</v>
      </c>
      <c r="W63" s="12">
        <v>0</v>
      </c>
    </row>
    <row r="64" spans="1:23" x14ac:dyDescent="0.3">
      <c r="A64" s="129"/>
      <c r="B64" s="129"/>
      <c r="C64" s="49" t="s">
        <v>75</v>
      </c>
      <c r="D64" s="36" t="s">
        <v>68</v>
      </c>
      <c r="E64" s="91">
        <f>IF(NOT(ISNUMBER(E65)),0,
   IF(NOT(ISNUMBER(F65)),
      F64 + IFERROR(INDEX(G65:W65, MATCH(0, G64:W64, 0)), 0),
      F64
   )
)</f>
        <v>2</v>
      </c>
      <c r="F64" s="91">
        <v>2</v>
      </c>
      <c r="G64" s="37">
        <v>2</v>
      </c>
      <c r="H64" s="37">
        <v>2</v>
      </c>
      <c r="I64" s="37">
        <v>2</v>
      </c>
      <c r="J64" s="37">
        <v>2</v>
      </c>
      <c r="K64" s="37">
        <v>2</v>
      </c>
      <c r="L64" s="37">
        <v>2</v>
      </c>
      <c r="M64" s="37">
        <v>2</v>
      </c>
      <c r="N64" s="37">
        <v>2</v>
      </c>
      <c r="O64" s="37">
        <v>2</v>
      </c>
      <c r="P64" s="37">
        <v>2</v>
      </c>
      <c r="Q64" s="37">
        <v>2</v>
      </c>
      <c r="R64" s="37">
        <v>2</v>
      </c>
      <c r="S64" s="37">
        <v>2</v>
      </c>
      <c r="T64" s="37">
        <v>2</v>
      </c>
      <c r="U64" s="37">
        <v>2</v>
      </c>
      <c r="V64" s="39">
        <v>0</v>
      </c>
      <c r="W64" s="12">
        <v>0</v>
      </c>
    </row>
    <row r="65" spans="1:23" x14ac:dyDescent="0.3">
      <c r="A65" s="129"/>
      <c r="B65" s="129"/>
      <c r="C65" s="49" t="s">
        <v>77</v>
      </c>
      <c r="D65" s="36" t="s">
        <v>35</v>
      </c>
      <c r="E65" s="91">
        <f>IF(NOT(ISNUMBER(E66)),0,
   IF(NOT(ISNUMBER(F66)),
      F65 + IFERROR(INDEX(G66:W66, MATCH(0, G65:W65, 0)), 0),
      F65
   )
)</f>
        <v>2</v>
      </c>
      <c r="F65" s="91">
        <v>2</v>
      </c>
      <c r="G65" s="37">
        <v>2</v>
      </c>
      <c r="H65" s="37">
        <v>2</v>
      </c>
      <c r="I65" s="37">
        <v>2</v>
      </c>
      <c r="J65" s="37">
        <v>2</v>
      </c>
      <c r="K65" s="37">
        <v>2</v>
      </c>
      <c r="L65" s="37">
        <v>2</v>
      </c>
      <c r="M65" s="37">
        <v>2</v>
      </c>
      <c r="N65" s="37">
        <v>2</v>
      </c>
      <c r="O65" s="37">
        <v>2</v>
      </c>
      <c r="P65" s="37">
        <v>2</v>
      </c>
      <c r="Q65" s="37">
        <v>2</v>
      </c>
      <c r="R65" s="37">
        <v>2</v>
      </c>
      <c r="S65" s="37">
        <v>2</v>
      </c>
      <c r="T65" s="37">
        <v>2</v>
      </c>
      <c r="U65" s="37">
        <v>2</v>
      </c>
      <c r="V65" s="39">
        <v>0</v>
      </c>
      <c r="W65" s="12">
        <v>0</v>
      </c>
    </row>
    <row r="66" spans="1:23" x14ac:dyDescent="0.3">
      <c r="A66" s="129"/>
      <c r="B66" s="129"/>
      <c r="C66" s="49" t="s">
        <v>78</v>
      </c>
      <c r="D66" s="36" t="s">
        <v>66</v>
      </c>
      <c r="E66" s="91">
        <f t="shared" ref="E66:E67" si="3">IF(NOT(ISNUMBER(E67)),0,
   IF(NOT(ISNUMBER(F67)),
      F66 + IFERROR(INDEX(G67:W67, MATCH(0, G66:W66, 0)), 0),
      F66
   )
)</f>
        <v>3</v>
      </c>
      <c r="F66" s="91">
        <v>2</v>
      </c>
      <c r="G66" s="37">
        <v>2</v>
      </c>
      <c r="H66" s="37">
        <v>2</v>
      </c>
      <c r="I66" s="37">
        <v>2</v>
      </c>
      <c r="J66" s="37">
        <v>2</v>
      </c>
      <c r="K66" s="37">
        <v>2</v>
      </c>
      <c r="L66" s="37">
        <v>2</v>
      </c>
      <c r="M66" s="37">
        <v>2</v>
      </c>
      <c r="N66" s="37">
        <v>2</v>
      </c>
      <c r="O66" s="37">
        <v>2</v>
      </c>
      <c r="P66" s="37">
        <v>2</v>
      </c>
      <c r="Q66" s="37">
        <v>2</v>
      </c>
      <c r="R66" s="37">
        <v>2</v>
      </c>
      <c r="S66" s="37">
        <v>2</v>
      </c>
      <c r="T66" s="37">
        <v>2</v>
      </c>
      <c r="U66" s="37">
        <v>2</v>
      </c>
      <c r="V66" s="39">
        <v>0</v>
      </c>
      <c r="W66" s="12">
        <v>0</v>
      </c>
    </row>
    <row r="67" spans="1:23" x14ac:dyDescent="0.3">
      <c r="A67" s="129"/>
      <c r="B67" s="129"/>
      <c r="C67" s="49"/>
      <c r="D67" s="36"/>
      <c r="E67" s="91">
        <f t="shared" si="3"/>
        <v>0</v>
      </c>
      <c r="F67" s="91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40">
        <v>1</v>
      </c>
      <c r="W67" s="12"/>
    </row>
    <row r="68" spans="1:23" x14ac:dyDescent="0.3">
      <c r="A68" s="129"/>
      <c r="B68" s="129"/>
      <c r="C68" s="49" t="s">
        <v>79</v>
      </c>
      <c r="D68" s="36" t="s">
        <v>65</v>
      </c>
      <c r="E68" s="91">
        <f>IF(NOT(ISNUMBER(E69)),0,
   IF(NOT(ISNUMBER(F69)),
      F68 + IFERROR(INDEX(G69:W69, MATCH(0, G68:W68, 0)), 0),
      F68
   )
)</f>
        <v>2</v>
      </c>
      <c r="F68" s="91">
        <v>2</v>
      </c>
      <c r="G68" s="37">
        <v>2</v>
      </c>
      <c r="H68" s="37">
        <v>2</v>
      </c>
      <c r="I68" s="37">
        <v>2</v>
      </c>
      <c r="J68" s="37">
        <v>2</v>
      </c>
      <c r="K68" s="37">
        <v>2</v>
      </c>
      <c r="L68" s="37">
        <v>2</v>
      </c>
      <c r="M68" s="37">
        <v>2</v>
      </c>
      <c r="N68" s="37">
        <v>2</v>
      </c>
      <c r="O68" s="37">
        <v>2</v>
      </c>
      <c r="P68" s="37">
        <v>2</v>
      </c>
      <c r="Q68" s="37">
        <v>2</v>
      </c>
      <c r="R68" s="37">
        <v>2</v>
      </c>
      <c r="S68" s="37">
        <v>2</v>
      </c>
      <c r="T68" s="37">
        <v>2</v>
      </c>
      <c r="U68" s="37">
        <v>2</v>
      </c>
      <c r="V68" s="39">
        <v>0</v>
      </c>
      <c r="W68" s="12">
        <v>0</v>
      </c>
    </row>
    <row r="69" spans="1:23" x14ac:dyDescent="0.3">
      <c r="A69" s="129"/>
      <c r="B69" s="129" t="s">
        <v>92</v>
      </c>
      <c r="C69" s="22" t="s">
        <v>93</v>
      </c>
      <c r="D69" s="42" t="s">
        <v>27</v>
      </c>
      <c r="E69" s="91">
        <v>5</v>
      </c>
      <c r="F69" s="91">
        <v>5</v>
      </c>
      <c r="G69" s="37">
        <v>5</v>
      </c>
      <c r="H69" s="37">
        <v>5</v>
      </c>
      <c r="I69" s="37">
        <v>5</v>
      </c>
      <c r="J69" s="37">
        <v>5</v>
      </c>
      <c r="K69" s="37">
        <v>5</v>
      </c>
      <c r="L69" s="37">
        <v>5</v>
      </c>
      <c r="M69" s="37">
        <v>5</v>
      </c>
      <c r="N69" s="37">
        <v>5</v>
      </c>
      <c r="O69" s="37">
        <v>5</v>
      </c>
      <c r="P69" s="37">
        <v>5</v>
      </c>
      <c r="Q69" s="37">
        <v>5</v>
      </c>
      <c r="R69" s="37">
        <v>5</v>
      </c>
      <c r="S69" s="37">
        <v>5</v>
      </c>
      <c r="T69" s="37">
        <v>5</v>
      </c>
      <c r="U69" s="37">
        <v>5</v>
      </c>
      <c r="V69" s="12">
        <v>5</v>
      </c>
      <c r="W69" s="39">
        <v>0</v>
      </c>
    </row>
    <row r="70" spans="1:23" x14ac:dyDescent="0.3">
      <c r="A70" s="129"/>
      <c r="B70" s="129"/>
      <c r="C70" s="22" t="s">
        <v>94</v>
      </c>
      <c r="D70" s="42" t="s">
        <v>27</v>
      </c>
      <c r="E70" s="91">
        <v>5</v>
      </c>
      <c r="F70" s="91">
        <v>5</v>
      </c>
      <c r="G70" s="37">
        <v>5</v>
      </c>
      <c r="H70" s="37">
        <v>5</v>
      </c>
      <c r="I70" s="37">
        <v>5</v>
      </c>
      <c r="J70" s="37">
        <v>5</v>
      </c>
      <c r="K70" s="37">
        <v>5</v>
      </c>
      <c r="L70" s="37">
        <v>5</v>
      </c>
      <c r="M70" s="37">
        <v>5</v>
      </c>
      <c r="N70" s="37">
        <v>5</v>
      </c>
      <c r="O70" s="37">
        <v>5</v>
      </c>
      <c r="P70" s="37">
        <v>5</v>
      </c>
      <c r="Q70" s="37">
        <v>5</v>
      </c>
      <c r="R70" s="37">
        <v>5</v>
      </c>
      <c r="S70" s="37">
        <v>5</v>
      </c>
      <c r="T70" s="37">
        <v>5</v>
      </c>
      <c r="U70" s="37">
        <v>5</v>
      </c>
      <c r="V70" s="12">
        <v>5</v>
      </c>
      <c r="W70" s="39">
        <v>0</v>
      </c>
    </row>
    <row r="71" spans="1:23" x14ac:dyDescent="0.3">
      <c r="A71" s="129"/>
      <c r="B71" s="133" t="s">
        <v>12</v>
      </c>
      <c r="C71" s="133"/>
      <c r="D71" s="43" t="s">
        <v>11</v>
      </c>
      <c r="E71" s="128">
        <f>SUM(E16:E70)</f>
        <v>175.5</v>
      </c>
      <c r="F71" s="128"/>
      <c r="G71" s="43">
        <f t="shared" ref="G71:W71" si="4">SUM(G16:G70)</f>
        <v>160</v>
      </c>
      <c r="H71" s="43">
        <f t="shared" si="4"/>
        <v>149</v>
      </c>
      <c r="I71" s="43">
        <f t="shared" si="4"/>
        <v>140</v>
      </c>
      <c r="J71" s="43">
        <f t="shared" si="4"/>
        <v>132</v>
      </c>
      <c r="K71" s="43">
        <f t="shared" si="4"/>
        <v>120</v>
      </c>
      <c r="L71" s="43">
        <f t="shared" si="4"/>
        <v>111</v>
      </c>
      <c r="M71" s="43">
        <f t="shared" si="4"/>
        <v>100</v>
      </c>
      <c r="N71" s="43">
        <f t="shared" si="4"/>
        <v>90</v>
      </c>
      <c r="O71" s="43">
        <f t="shared" si="4"/>
        <v>81</v>
      </c>
      <c r="P71" s="43">
        <f t="shared" si="4"/>
        <v>70</v>
      </c>
      <c r="Q71" s="43">
        <f t="shared" si="4"/>
        <v>60</v>
      </c>
      <c r="R71" s="43">
        <f t="shared" si="4"/>
        <v>51</v>
      </c>
      <c r="S71" s="43">
        <f t="shared" si="4"/>
        <v>40</v>
      </c>
      <c r="T71" s="43">
        <f t="shared" si="4"/>
        <v>30</v>
      </c>
      <c r="U71" s="43">
        <f t="shared" si="4"/>
        <v>20.5</v>
      </c>
      <c r="V71" s="43">
        <f t="shared" si="4"/>
        <v>11</v>
      </c>
      <c r="W71" s="43">
        <f t="shared" si="4"/>
        <v>0</v>
      </c>
    </row>
    <row r="72" spans="1:23" x14ac:dyDescent="0.3">
      <c r="A72" s="129"/>
      <c r="B72" s="133"/>
      <c r="C72" s="133"/>
      <c r="D72" s="43" t="s">
        <v>28</v>
      </c>
      <c r="E72" s="128">
        <f>SUM(F16:F70)</f>
        <v>170</v>
      </c>
      <c r="F72" s="128"/>
      <c r="G72" s="43">
        <f>SUM(G16:G70)</f>
        <v>160</v>
      </c>
      <c r="H72" s="43">
        <f>SUM(H16:H70)-SUM(H18)</f>
        <v>150</v>
      </c>
      <c r="I72" s="43">
        <f>SUM(I16:I70)</f>
        <v>140</v>
      </c>
      <c r="J72" s="43">
        <f>SUM(J16:J70)-SUM(J23,J26)</f>
        <v>130</v>
      </c>
      <c r="K72" s="43">
        <f>SUM(K16:K70)</f>
        <v>120</v>
      </c>
      <c r="L72" s="43">
        <f>SUM(L16:L70)-(SUM(L33))</f>
        <v>110</v>
      </c>
      <c r="M72" s="43">
        <f>SUM(M16:M70)</f>
        <v>100</v>
      </c>
      <c r="N72" s="43">
        <f>SUM(N16:N70)</f>
        <v>90</v>
      </c>
      <c r="O72" s="43">
        <f>SUM(O16:O70)-SUM(O39)</f>
        <v>80</v>
      </c>
      <c r="P72" s="43">
        <f>SUM(P16:P70)</f>
        <v>70</v>
      </c>
      <c r="Q72" s="43">
        <f>SUM(Q16:Q70)</f>
        <v>60</v>
      </c>
      <c r="R72" s="43">
        <f>SUM(R16:R70)-SUM(R42)</f>
        <v>50</v>
      </c>
      <c r="S72" s="43">
        <f>SUM(S16:S70)</f>
        <v>40</v>
      </c>
      <c r="T72" s="43">
        <f>SUM(T16:T70)</f>
        <v>30</v>
      </c>
      <c r="U72" s="43">
        <f>SUM(U16:U70)-U60-U57</f>
        <v>20</v>
      </c>
      <c r="V72" s="43">
        <f>SUM(V16:V70)-V67</f>
        <v>10</v>
      </c>
      <c r="W72" s="43">
        <f>SUM(W16:W70)</f>
        <v>0</v>
      </c>
    </row>
    <row r="73" spans="1:23" x14ac:dyDescent="0.3">
      <c r="E73" s="1"/>
      <c r="F73" s="1"/>
    </row>
    <row r="74" spans="1:23" x14ac:dyDescent="0.3">
      <c r="E74" s="1"/>
      <c r="F74" s="1"/>
    </row>
    <row r="75" spans="1:23" x14ac:dyDescent="0.3">
      <c r="E75" s="1"/>
      <c r="F75" s="1"/>
    </row>
    <row r="76" spans="1:23" x14ac:dyDescent="0.3">
      <c r="E76" s="1"/>
      <c r="F76" s="1"/>
    </row>
    <row r="77" spans="1:23" x14ac:dyDescent="0.3">
      <c r="E77" s="1"/>
      <c r="F77" s="1"/>
    </row>
    <row r="78" spans="1:23" x14ac:dyDescent="0.3">
      <c r="E78" s="1"/>
      <c r="F78" s="1"/>
    </row>
    <row r="79" spans="1:23" x14ac:dyDescent="0.3">
      <c r="E79" s="1"/>
      <c r="F79" s="1"/>
    </row>
    <row r="80" spans="1:23" x14ac:dyDescent="0.3">
      <c r="E80" s="1"/>
      <c r="F80" s="1"/>
    </row>
    <row r="81" spans="5:6" x14ac:dyDescent="0.3">
      <c r="E81" s="1"/>
      <c r="F81" s="1"/>
    </row>
    <row r="82" spans="5:6" x14ac:dyDescent="0.3">
      <c r="E82" s="1"/>
      <c r="F82" s="1"/>
    </row>
    <row r="83" spans="5:6" x14ac:dyDescent="0.3">
      <c r="E83" s="1"/>
      <c r="F83" s="1"/>
    </row>
    <row r="84" spans="5:6" x14ac:dyDescent="0.3">
      <c r="E84" s="1"/>
      <c r="F84" s="1"/>
    </row>
    <row r="85" spans="5:6" x14ac:dyDescent="0.3">
      <c r="E85" s="1"/>
      <c r="F85" s="1"/>
    </row>
    <row r="86" spans="5:6" x14ac:dyDescent="0.3">
      <c r="E86" s="1"/>
      <c r="F86" s="1"/>
    </row>
    <row r="87" spans="5:6" x14ac:dyDescent="0.3">
      <c r="E87" s="1"/>
      <c r="F87" s="1"/>
    </row>
    <row r="88" spans="5:6" x14ac:dyDescent="0.3">
      <c r="E88" s="1"/>
      <c r="F88" s="1"/>
    </row>
    <row r="89" spans="5:6" x14ac:dyDescent="0.3">
      <c r="E89" s="1"/>
      <c r="F89" s="1"/>
    </row>
    <row r="90" spans="5:6" x14ac:dyDescent="0.3">
      <c r="E90" s="1"/>
      <c r="F90" s="1"/>
    </row>
    <row r="91" spans="5:6" x14ac:dyDescent="0.3">
      <c r="E91" s="1"/>
      <c r="F91" s="1"/>
    </row>
    <row r="92" spans="5:6" x14ac:dyDescent="0.3">
      <c r="E92" s="1"/>
      <c r="F92" s="1"/>
    </row>
    <row r="93" spans="5:6" x14ac:dyDescent="0.3">
      <c r="E93" s="1"/>
      <c r="F93" s="1"/>
    </row>
    <row r="94" spans="5:6" x14ac:dyDescent="0.3">
      <c r="E94" s="1"/>
      <c r="F94" s="1"/>
    </row>
    <row r="95" spans="5:6" x14ac:dyDescent="0.3">
      <c r="E95" s="1"/>
      <c r="F95" s="1"/>
    </row>
    <row r="96" spans="5:6" x14ac:dyDescent="0.3">
      <c r="E96" s="1"/>
      <c r="F96" s="1"/>
    </row>
    <row r="97" spans="5:6" x14ac:dyDescent="0.3">
      <c r="E97" s="1"/>
      <c r="F97" s="1"/>
    </row>
    <row r="98" spans="5:6" x14ac:dyDescent="0.3">
      <c r="E98" s="1"/>
      <c r="F98" s="1"/>
    </row>
    <row r="99" spans="5:6" x14ac:dyDescent="0.3">
      <c r="E99" s="1"/>
      <c r="F99" s="1"/>
    </row>
    <row r="100" spans="5:6" x14ac:dyDescent="0.3">
      <c r="E100" s="1"/>
      <c r="F100" s="1"/>
    </row>
    <row r="101" spans="5:6" x14ac:dyDescent="0.3">
      <c r="E101" s="1"/>
      <c r="F101" s="1"/>
    </row>
    <row r="102" spans="5:6" x14ac:dyDescent="0.3">
      <c r="E102" s="1"/>
      <c r="F102" s="1"/>
    </row>
    <row r="103" spans="5:6" x14ac:dyDescent="0.3">
      <c r="E103" s="1"/>
      <c r="F103" s="1"/>
    </row>
    <row r="104" spans="5:6" x14ac:dyDescent="0.3">
      <c r="E104" s="1"/>
      <c r="F104" s="1"/>
    </row>
    <row r="105" spans="5:6" x14ac:dyDescent="0.3">
      <c r="E105" s="1"/>
      <c r="F105" s="1"/>
    </row>
    <row r="106" spans="5:6" x14ac:dyDescent="0.3">
      <c r="E106" s="1"/>
      <c r="F106" s="1"/>
    </row>
    <row r="107" spans="5:6" x14ac:dyDescent="0.3">
      <c r="E107" s="1"/>
      <c r="F107" s="1"/>
    </row>
    <row r="108" spans="5:6" x14ac:dyDescent="0.3">
      <c r="E108" s="1"/>
      <c r="F108" s="1"/>
    </row>
    <row r="109" spans="5:6" x14ac:dyDescent="0.3">
      <c r="E109" s="1"/>
      <c r="F109" s="1"/>
    </row>
    <row r="110" spans="5:6" x14ac:dyDescent="0.3">
      <c r="E110" s="1"/>
      <c r="F110" s="1"/>
    </row>
    <row r="111" spans="5:6" x14ac:dyDescent="0.3">
      <c r="E111" s="1"/>
      <c r="F111" s="1"/>
    </row>
    <row r="112" spans="5:6" x14ac:dyDescent="0.3">
      <c r="E112" s="1"/>
      <c r="F112" s="1"/>
    </row>
    <row r="113" spans="5:6" x14ac:dyDescent="0.3">
      <c r="E113" s="1"/>
      <c r="F113" s="1"/>
    </row>
    <row r="114" spans="5:6" x14ac:dyDescent="0.3">
      <c r="E114" s="1"/>
      <c r="F114" s="1"/>
    </row>
    <row r="115" spans="5:6" x14ac:dyDescent="0.3">
      <c r="E115" s="1"/>
      <c r="F115" s="1"/>
    </row>
    <row r="116" spans="5:6" x14ac:dyDescent="0.3">
      <c r="E116" s="1"/>
      <c r="F116" s="1"/>
    </row>
    <row r="117" spans="5:6" x14ac:dyDescent="0.3">
      <c r="E117" s="1"/>
      <c r="F117" s="1"/>
    </row>
    <row r="118" spans="5:6" x14ac:dyDescent="0.3">
      <c r="E118" s="1"/>
      <c r="F118" s="1"/>
    </row>
    <row r="119" spans="5:6" x14ac:dyDescent="0.3">
      <c r="E119" s="1"/>
      <c r="F119" s="1"/>
    </row>
    <row r="120" spans="5:6" x14ac:dyDescent="0.3">
      <c r="E120" s="1"/>
      <c r="F120" s="1"/>
    </row>
    <row r="121" spans="5:6" x14ac:dyDescent="0.3">
      <c r="E121" s="1"/>
      <c r="F121" s="1"/>
    </row>
    <row r="122" spans="5:6" x14ac:dyDescent="0.3">
      <c r="E122" s="1"/>
      <c r="F122" s="1"/>
    </row>
    <row r="123" spans="5:6" x14ac:dyDescent="0.3">
      <c r="E123" s="1"/>
      <c r="F123" s="1"/>
    </row>
    <row r="124" spans="5:6" x14ac:dyDescent="0.3">
      <c r="E124" s="1"/>
      <c r="F124" s="1"/>
    </row>
    <row r="125" spans="5:6" x14ac:dyDescent="0.3">
      <c r="E125" s="1"/>
      <c r="F125" s="1"/>
    </row>
    <row r="126" spans="5:6" x14ac:dyDescent="0.3">
      <c r="E126" s="1"/>
      <c r="F126" s="1"/>
    </row>
    <row r="127" spans="5:6" x14ac:dyDescent="0.3">
      <c r="E127" s="1"/>
      <c r="F127" s="1"/>
    </row>
    <row r="128" spans="5:6" x14ac:dyDescent="0.3">
      <c r="E128" s="1"/>
      <c r="F128" s="1"/>
    </row>
    <row r="129" spans="5:6" x14ac:dyDescent="0.3">
      <c r="E129" s="1"/>
      <c r="F129" s="1"/>
    </row>
    <row r="130" spans="5:6" x14ac:dyDescent="0.3">
      <c r="E130" s="1"/>
      <c r="F130" s="1"/>
    </row>
    <row r="131" spans="5:6" x14ac:dyDescent="0.3">
      <c r="E131" s="1"/>
      <c r="F131" s="1"/>
    </row>
    <row r="132" spans="5:6" x14ac:dyDescent="0.3">
      <c r="E132" s="1"/>
      <c r="F132" s="1"/>
    </row>
    <row r="133" spans="5:6" x14ac:dyDescent="0.3">
      <c r="E133" s="1"/>
      <c r="F133" s="1"/>
    </row>
    <row r="134" spans="5:6" x14ac:dyDescent="0.3">
      <c r="E134" s="1"/>
      <c r="F134" s="1"/>
    </row>
    <row r="135" spans="5:6" x14ac:dyDescent="0.3">
      <c r="E135" s="1"/>
      <c r="F135" s="1"/>
    </row>
    <row r="136" spans="5:6" x14ac:dyDescent="0.3">
      <c r="E136" s="1"/>
      <c r="F136" s="1"/>
    </row>
    <row r="137" spans="5:6" x14ac:dyDescent="0.3">
      <c r="E137" s="1"/>
      <c r="F137" s="1"/>
    </row>
    <row r="138" spans="5:6" x14ac:dyDescent="0.3">
      <c r="E138" s="1"/>
      <c r="F138" s="1"/>
    </row>
    <row r="139" spans="5:6" x14ac:dyDescent="0.3">
      <c r="E139" s="1"/>
      <c r="F139" s="1"/>
    </row>
    <row r="140" spans="5:6" x14ac:dyDescent="0.3">
      <c r="E140" s="1"/>
      <c r="F140" s="1"/>
    </row>
    <row r="141" spans="5:6" x14ac:dyDescent="0.3">
      <c r="E141" s="1"/>
      <c r="F141" s="1"/>
    </row>
    <row r="142" spans="5:6" x14ac:dyDescent="0.3">
      <c r="E142" s="1"/>
      <c r="F142" s="1"/>
    </row>
    <row r="143" spans="5:6" x14ac:dyDescent="0.3">
      <c r="E143" s="1"/>
      <c r="F143" s="1"/>
    </row>
    <row r="144" spans="5:6" x14ac:dyDescent="0.3">
      <c r="E144" s="1"/>
      <c r="F144" s="1"/>
    </row>
    <row r="145" spans="5:6" x14ac:dyDescent="0.3">
      <c r="E145" s="1"/>
      <c r="F145" s="1"/>
    </row>
    <row r="146" spans="5:6" x14ac:dyDescent="0.3">
      <c r="E146" s="1"/>
      <c r="F146" s="1"/>
    </row>
    <row r="147" spans="5:6" x14ac:dyDescent="0.3">
      <c r="E147" s="1"/>
      <c r="F147" s="1"/>
    </row>
    <row r="148" spans="5:6" x14ac:dyDescent="0.3">
      <c r="E148" s="1"/>
      <c r="F148" s="1"/>
    </row>
    <row r="149" spans="5:6" x14ac:dyDescent="0.3">
      <c r="E149" s="1"/>
      <c r="F149" s="1"/>
    </row>
    <row r="150" spans="5:6" x14ac:dyDescent="0.3">
      <c r="E150" s="1"/>
      <c r="F150" s="1"/>
    </row>
    <row r="151" spans="5:6" x14ac:dyDescent="0.3">
      <c r="E151" s="1"/>
      <c r="F151" s="1"/>
    </row>
    <row r="152" spans="5:6" x14ac:dyDescent="0.3">
      <c r="E152" s="1"/>
      <c r="F152" s="1"/>
    </row>
    <row r="153" spans="5:6" x14ac:dyDescent="0.3">
      <c r="E153" s="1"/>
      <c r="F153" s="1"/>
    </row>
    <row r="154" spans="5:6" x14ac:dyDescent="0.3">
      <c r="E154" s="1"/>
      <c r="F154" s="1"/>
    </row>
    <row r="155" spans="5:6" x14ac:dyDescent="0.3">
      <c r="E155" s="1"/>
      <c r="F155" s="1"/>
    </row>
    <row r="156" spans="5:6" x14ac:dyDescent="0.3">
      <c r="E156" s="1"/>
      <c r="F156" s="1"/>
    </row>
    <row r="157" spans="5:6" x14ac:dyDescent="0.3">
      <c r="E157" s="1"/>
      <c r="F157" s="1"/>
    </row>
    <row r="158" spans="5:6" x14ac:dyDescent="0.3">
      <c r="E158" s="1"/>
      <c r="F158" s="1"/>
    </row>
    <row r="159" spans="5:6" x14ac:dyDescent="0.3">
      <c r="E159" s="1"/>
      <c r="F159" s="1"/>
    </row>
    <row r="160" spans="5:6" x14ac:dyDescent="0.3">
      <c r="E160" s="1"/>
      <c r="F160" s="1"/>
    </row>
    <row r="161" spans="5:6" x14ac:dyDescent="0.3">
      <c r="E161" s="1"/>
      <c r="F161" s="1"/>
    </row>
    <row r="162" spans="5:6" x14ac:dyDescent="0.3">
      <c r="E162" s="1"/>
      <c r="F162" s="1"/>
    </row>
    <row r="163" spans="5:6" x14ac:dyDescent="0.3">
      <c r="E163" s="1"/>
      <c r="F163" s="1"/>
    </row>
    <row r="164" spans="5:6" x14ac:dyDescent="0.3">
      <c r="E164" s="1"/>
      <c r="F164" s="1"/>
    </row>
    <row r="165" spans="5:6" x14ac:dyDescent="0.3">
      <c r="E165" s="1"/>
      <c r="F165" s="1"/>
    </row>
    <row r="166" spans="5:6" x14ac:dyDescent="0.3">
      <c r="E166" s="1"/>
      <c r="F166" s="1"/>
    </row>
    <row r="167" spans="5:6" x14ac:dyDescent="0.3">
      <c r="E167" s="1"/>
      <c r="F167" s="1"/>
    </row>
    <row r="168" spans="5:6" x14ac:dyDescent="0.3">
      <c r="E168" s="1"/>
      <c r="F168" s="1"/>
    </row>
    <row r="169" spans="5:6" x14ac:dyDescent="0.3">
      <c r="E169" s="1"/>
      <c r="F169" s="1"/>
    </row>
    <row r="170" spans="5:6" x14ac:dyDescent="0.3">
      <c r="E170" s="1"/>
      <c r="F170" s="1"/>
    </row>
    <row r="171" spans="5:6" x14ac:dyDescent="0.3">
      <c r="E171" s="1"/>
      <c r="F171" s="1"/>
    </row>
    <row r="172" spans="5:6" x14ac:dyDescent="0.3">
      <c r="E172" s="1"/>
      <c r="F172" s="1"/>
    </row>
    <row r="173" spans="5:6" x14ac:dyDescent="0.3">
      <c r="E173" s="1"/>
      <c r="F173" s="1"/>
    </row>
    <row r="174" spans="5:6" x14ac:dyDescent="0.3">
      <c r="E174" s="1"/>
      <c r="F174" s="1"/>
    </row>
    <row r="175" spans="5:6" x14ac:dyDescent="0.3">
      <c r="E175" s="1"/>
      <c r="F175" s="1"/>
    </row>
    <row r="176" spans="5:6" x14ac:dyDescent="0.3">
      <c r="E176" s="1"/>
      <c r="F176" s="1"/>
    </row>
    <row r="177" spans="5:6" x14ac:dyDescent="0.3">
      <c r="E177" s="1"/>
      <c r="F177" s="1"/>
    </row>
    <row r="178" spans="5:6" x14ac:dyDescent="0.3">
      <c r="E178" s="1"/>
      <c r="F178" s="1"/>
    </row>
    <row r="179" spans="5:6" x14ac:dyDescent="0.3">
      <c r="E179" s="1"/>
      <c r="F179" s="1"/>
    </row>
    <row r="180" spans="5:6" x14ac:dyDescent="0.3">
      <c r="E180" s="1"/>
      <c r="F180" s="1"/>
    </row>
    <row r="181" spans="5:6" x14ac:dyDescent="0.3">
      <c r="E181" s="1"/>
      <c r="F181" s="1"/>
    </row>
    <row r="182" spans="5:6" x14ac:dyDescent="0.3">
      <c r="E182" s="1"/>
      <c r="F182" s="1"/>
    </row>
    <row r="183" spans="5:6" x14ac:dyDescent="0.3">
      <c r="E183" s="1"/>
      <c r="F183" s="1"/>
    </row>
    <row r="184" spans="5:6" x14ac:dyDescent="0.3">
      <c r="E184" s="1"/>
      <c r="F184" s="1"/>
    </row>
    <row r="185" spans="5:6" x14ac:dyDescent="0.3">
      <c r="E185" s="1"/>
      <c r="F185" s="1"/>
    </row>
    <row r="186" spans="5:6" x14ac:dyDescent="0.3">
      <c r="E186" s="1"/>
      <c r="F186" s="1"/>
    </row>
    <row r="187" spans="5:6" x14ac:dyDescent="0.3">
      <c r="E187" s="1"/>
      <c r="F187" s="1"/>
    </row>
    <row r="188" spans="5:6" x14ac:dyDescent="0.3">
      <c r="E188" s="1"/>
      <c r="F188" s="1"/>
    </row>
    <row r="189" spans="5:6" x14ac:dyDescent="0.3">
      <c r="E189" s="1"/>
      <c r="F189" s="1"/>
    </row>
    <row r="190" spans="5:6" x14ac:dyDescent="0.3">
      <c r="E190" s="1"/>
      <c r="F190" s="1"/>
    </row>
    <row r="191" spans="5:6" x14ac:dyDescent="0.3">
      <c r="E191" s="1"/>
      <c r="F191" s="1"/>
    </row>
    <row r="192" spans="5:6" x14ac:dyDescent="0.3">
      <c r="E192" s="1"/>
      <c r="F192" s="1"/>
    </row>
    <row r="193" spans="5:6" x14ac:dyDescent="0.3">
      <c r="E193" s="1"/>
      <c r="F193" s="1"/>
    </row>
    <row r="194" spans="5:6" x14ac:dyDescent="0.3">
      <c r="E194" s="1"/>
      <c r="F194" s="1"/>
    </row>
    <row r="195" spans="5:6" x14ac:dyDescent="0.3">
      <c r="E195" s="1"/>
      <c r="F195" s="1"/>
    </row>
    <row r="196" spans="5:6" x14ac:dyDescent="0.3">
      <c r="E196" s="1"/>
      <c r="F196" s="1"/>
    </row>
    <row r="197" spans="5:6" x14ac:dyDescent="0.3">
      <c r="E197" s="1"/>
      <c r="F197" s="1"/>
    </row>
    <row r="198" spans="5:6" x14ac:dyDescent="0.3">
      <c r="E198" s="1"/>
      <c r="F198" s="1"/>
    </row>
    <row r="199" spans="5:6" x14ac:dyDescent="0.3">
      <c r="E199" s="1"/>
      <c r="F199" s="1"/>
    </row>
    <row r="200" spans="5:6" x14ac:dyDescent="0.3">
      <c r="E200" s="1"/>
      <c r="F200" s="1"/>
    </row>
    <row r="201" spans="5:6" x14ac:dyDescent="0.3">
      <c r="E201" s="1"/>
      <c r="F201" s="1"/>
    </row>
    <row r="202" spans="5:6" x14ac:dyDescent="0.3">
      <c r="E202" s="1"/>
      <c r="F202" s="1"/>
    </row>
    <row r="203" spans="5:6" x14ac:dyDescent="0.3">
      <c r="E203" s="1"/>
      <c r="F203" s="1"/>
    </row>
    <row r="204" spans="5:6" x14ac:dyDescent="0.3">
      <c r="E204" s="1"/>
      <c r="F204" s="1"/>
    </row>
    <row r="205" spans="5:6" x14ac:dyDescent="0.3">
      <c r="E205" s="1"/>
      <c r="F205" s="1"/>
    </row>
    <row r="206" spans="5:6" x14ac:dyDescent="0.3">
      <c r="E206" s="1"/>
      <c r="F206" s="1"/>
    </row>
    <row r="207" spans="5:6" x14ac:dyDescent="0.3">
      <c r="E207" s="1"/>
      <c r="F207" s="1"/>
    </row>
    <row r="208" spans="5:6" x14ac:dyDescent="0.3">
      <c r="E208" s="1"/>
      <c r="F208" s="1"/>
    </row>
    <row r="209" spans="5:6" x14ac:dyDescent="0.3">
      <c r="E209" s="1"/>
      <c r="F209" s="1"/>
    </row>
    <row r="210" spans="5:6" x14ac:dyDescent="0.3">
      <c r="E210" s="1"/>
      <c r="F210" s="1"/>
    </row>
    <row r="211" spans="5:6" x14ac:dyDescent="0.3">
      <c r="E211" s="1"/>
      <c r="F211" s="1"/>
    </row>
    <row r="212" spans="5:6" x14ac:dyDescent="0.3">
      <c r="E212" s="1"/>
      <c r="F212" s="1"/>
    </row>
    <row r="213" spans="5:6" x14ac:dyDescent="0.3">
      <c r="E213" s="1"/>
      <c r="F213" s="1"/>
    </row>
    <row r="214" spans="5:6" x14ac:dyDescent="0.3">
      <c r="E214" s="1"/>
      <c r="F214" s="1"/>
    </row>
    <row r="215" spans="5:6" x14ac:dyDescent="0.3">
      <c r="E215" s="1"/>
      <c r="F215" s="1"/>
    </row>
    <row r="216" spans="5:6" x14ac:dyDescent="0.3">
      <c r="E216" s="1"/>
      <c r="F216" s="1"/>
    </row>
    <row r="217" spans="5:6" x14ac:dyDescent="0.3">
      <c r="E217" s="1"/>
      <c r="F217" s="1"/>
    </row>
    <row r="218" spans="5:6" x14ac:dyDescent="0.3">
      <c r="E218" s="1"/>
      <c r="F218" s="1"/>
    </row>
    <row r="219" spans="5:6" x14ac:dyDescent="0.3">
      <c r="E219" s="1"/>
      <c r="F219" s="1"/>
    </row>
    <row r="220" spans="5:6" x14ac:dyDescent="0.3">
      <c r="E220" s="1"/>
      <c r="F220" s="1"/>
    </row>
    <row r="221" spans="5:6" x14ac:dyDescent="0.3">
      <c r="E221" s="1"/>
      <c r="F221" s="1"/>
    </row>
    <row r="222" spans="5:6" x14ac:dyDescent="0.3">
      <c r="E222" s="1"/>
      <c r="F222" s="1"/>
    </row>
    <row r="223" spans="5:6" x14ac:dyDescent="0.3">
      <c r="E223" s="1"/>
      <c r="F223" s="1"/>
    </row>
    <row r="224" spans="5:6" x14ac:dyDescent="0.3">
      <c r="E224" s="1"/>
      <c r="F224" s="1"/>
    </row>
    <row r="225" spans="5:6" x14ac:dyDescent="0.3">
      <c r="E225" s="1"/>
      <c r="F225" s="1"/>
    </row>
    <row r="226" spans="5:6" x14ac:dyDescent="0.3">
      <c r="E226" s="1"/>
      <c r="F226" s="1"/>
    </row>
    <row r="227" spans="5:6" x14ac:dyDescent="0.3">
      <c r="E227" s="1"/>
      <c r="F227" s="1"/>
    </row>
    <row r="228" spans="5:6" x14ac:dyDescent="0.3">
      <c r="E228" s="1"/>
      <c r="F228" s="1"/>
    </row>
    <row r="229" spans="5:6" x14ac:dyDescent="0.3">
      <c r="E229" s="1"/>
      <c r="F229" s="1"/>
    </row>
    <row r="230" spans="5:6" x14ac:dyDescent="0.3">
      <c r="E230" s="1"/>
      <c r="F230" s="1"/>
    </row>
    <row r="231" spans="5:6" x14ac:dyDescent="0.3">
      <c r="E231" s="1"/>
      <c r="F231" s="1"/>
    </row>
    <row r="232" spans="5:6" x14ac:dyDescent="0.3">
      <c r="E232" s="1"/>
      <c r="F232" s="1"/>
    </row>
    <row r="233" spans="5:6" x14ac:dyDescent="0.3">
      <c r="E233" s="1"/>
      <c r="F233" s="1"/>
    </row>
    <row r="234" spans="5:6" x14ac:dyDescent="0.3">
      <c r="E234" s="1"/>
      <c r="F234" s="1"/>
    </row>
    <row r="235" spans="5:6" x14ac:dyDescent="0.3">
      <c r="E235" s="1"/>
      <c r="F235" s="1"/>
    </row>
    <row r="236" spans="5:6" x14ac:dyDescent="0.3">
      <c r="E236" s="1"/>
      <c r="F236" s="1"/>
    </row>
    <row r="237" spans="5:6" x14ac:dyDescent="0.3">
      <c r="E237" s="1"/>
      <c r="F237" s="1"/>
    </row>
    <row r="238" spans="5:6" x14ac:dyDescent="0.3">
      <c r="E238" s="1"/>
      <c r="F238" s="1"/>
    </row>
    <row r="239" spans="5:6" x14ac:dyDescent="0.3">
      <c r="E239" s="1"/>
      <c r="F239" s="1"/>
    </row>
    <row r="240" spans="5:6" x14ac:dyDescent="0.3">
      <c r="E240" s="1"/>
      <c r="F240" s="1"/>
    </row>
    <row r="241" spans="5:6" x14ac:dyDescent="0.3">
      <c r="E241" s="1"/>
      <c r="F241" s="1"/>
    </row>
    <row r="242" spans="5:6" x14ac:dyDescent="0.3">
      <c r="E242" s="1"/>
      <c r="F242" s="1"/>
    </row>
    <row r="243" spans="5:6" x14ac:dyDescent="0.3">
      <c r="E243" s="1"/>
      <c r="F243" s="1"/>
    </row>
    <row r="244" spans="5:6" x14ac:dyDescent="0.3">
      <c r="E244" s="1"/>
      <c r="F244" s="1"/>
    </row>
    <row r="245" spans="5:6" x14ac:dyDescent="0.3">
      <c r="E245" s="1"/>
      <c r="F245" s="1"/>
    </row>
    <row r="246" spans="5:6" x14ac:dyDescent="0.3">
      <c r="E246" s="1"/>
      <c r="F246" s="1"/>
    </row>
    <row r="247" spans="5:6" x14ac:dyDescent="0.3">
      <c r="E247" s="1"/>
      <c r="F247" s="1"/>
    </row>
    <row r="248" spans="5:6" x14ac:dyDescent="0.3">
      <c r="E248" s="1"/>
      <c r="F248" s="1"/>
    </row>
    <row r="249" spans="5:6" x14ac:dyDescent="0.3">
      <c r="E249" s="1"/>
      <c r="F249" s="1"/>
    </row>
    <row r="250" spans="5:6" x14ac:dyDescent="0.3">
      <c r="E250" s="1"/>
      <c r="F250" s="1"/>
    </row>
    <row r="251" spans="5:6" x14ac:dyDescent="0.3">
      <c r="E251" s="1"/>
      <c r="F251" s="1"/>
    </row>
    <row r="252" spans="5:6" x14ac:dyDescent="0.3">
      <c r="E252" s="1"/>
      <c r="F252" s="1"/>
    </row>
    <row r="253" spans="5:6" x14ac:dyDescent="0.3">
      <c r="E253" s="1"/>
      <c r="F253" s="1"/>
    </row>
    <row r="254" spans="5:6" x14ac:dyDescent="0.3">
      <c r="E254" s="1"/>
      <c r="F254" s="1"/>
    </row>
    <row r="255" spans="5:6" x14ac:dyDescent="0.3">
      <c r="E255" s="1"/>
      <c r="F255" s="1"/>
    </row>
    <row r="256" spans="5:6" x14ac:dyDescent="0.3">
      <c r="E256" s="1"/>
      <c r="F256" s="1"/>
    </row>
    <row r="257" spans="5:6" x14ac:dyDescent="0.3">
      <c r="E257" s="1"/>
      <c r="F257" s="1"/>
    </row>
    <row r="258" spans="5:6" x14ac:dyDescent="0.3">
      <c r="E258" s="1"/>
      <c r="F258" s="1"/>
    </row>
    <row r="259" spans="5:6" x14ac:dyDescent="0.3">
      <c r="E259" s="1"/>
      <c r="F259" s="1"/>
    </row>
    <row r="260" spans="5:6" x14ac:dyDescent="0.3">
      <c r="E260" s="1"/>
      <c r="F260" s="1"/>
    </row>
    <row r="261" spans="5:6" x14ac:dyDescent="0.3">
      <c r="E261" s="1"/>
      <c r="F261" s="1"/>
    </row>
    <row r="262" spans="5:6" x14ac:dyDescent="0.3">
      <c r="E262" s="1"/>
      <c r="F262" s="1"/>
    </row>
    <row r="263" spans="5:6" x14ac:dyDescent="0.3">
      <c r="E263" s="1"/>
      <c r="F263" s="1"/>
    </row>
    <row r="264" spans="5:6" x14ac:dyDescent="0.3">
      <c r="E264" s="1"/>
      <c r="F264" s="1"/>
    </row>
    <row r="265" spans="5:6" x14ac:dyDescent="0.3">
      <c r="E265" s="1"/>
      <c r="F265" s="1"/>
    </row>
    <row r="266" spans="5:6" x14ac:dyDescent="0.3">
      <c r="E266" s="1"/>
      <c r="F266" s="1"/>
    </row>
    <row r="267" spans="5:6" x14ac:dyDescent="0.3">
      <c r="E267" s="1"/>
      <c r="F267" s="1"/>
    </row>
    <row r="268" spans="5:6" x14ac:dyDescent="0.3">
      <c r="E268" s="1"/>
      <c r="F268" s="1"/>
    </row>
    <row r="269" spans="5:6" x14ac:dyDescent="0.3">
      <c r="E269" s="1"/>
      <c r="F269" s="1"/>
    </row>
    <row r="270" spans="5:6" x14ac:dyDescent="0.3">
      <c r="E270" s="1"/>
      <c r="F270" s="1"/>
    </row>
    <row r="271" spans="5:6" x14ac:dyDescent="0.3">
      <c r="E271" s="1"/>
      <c r="F271" s="1"/>
    </row>
    <row r="272" spans="5:6" x14ac:dyDescent="0.3">
      <c r="E272" s="1"/>
      <c r="F272" s="1"/>
    </row>
    <row r="273" spans="5:6" x14ac:dyDescent="0.3">
      <c r="E273" s="1"/>
      <c r="F273" s="1"/>
    </row>
    <row r="274" spans="5:6" x14ac:dyDescent="0.3">
      <c r="E274" s="1"/>
      <c r="F274" s="1"/>
    </row>
    <row r="275" spans="5:6" x14ac:dyDescent="0.3">
      <c r="E275" s="1"/>
      <c r="F275" s="1"/>
    </row>
    <row r="276" spans="5:6" x14ac:dyDescent="0.3">
      <c r="E276" s="1"/>
      <c r="F276" s="1"/>
    </row>
    <row r="277" spans="5:6" x14ac:dyDescent="0.3">
      <c r="E277" s="1"/>
      <c r="F277" s="1"/>
    </row>
    <row r="278" spans="5:6" x14ac:dyDescent="0.3">
      <c r="E278" s="1"/>
      <c r="F278" s="1"/>
    </row>
    <row r="279" spans="5:6" x14ac:dyDescent="0.3">
      <c r="E279" s="1"/>
      <c r="F279" s="1"/>
    </row>
    <row r="280" spans="5:6" x14ac:dyDescent="0.3">
      <c r="E280" s="1"/>
      <c r="F280" s="1"/>
    </row>
    <row r="281" spans="5:6" x14ac:dyDescent="0.3">
      <c r="E281" s="1"/>
      <c r="F281" s="1"/>
    </row>
    <row r="282" spans="5:6" x14ac:dyDescent="0.3">
      <c r="E282" s="1"/>
      <c r="F282" s="1"/>
    </row>
    <row r="283" spans="5:6" x14ac:dyDescent="0.3">
      <c r="E283" s="1"/>
      <c r="F283" s="1"/>
    </row>
    <row r="284" spans="5:6" x14ac:dyDescent="0.3">
      <c r="E284" s="1"/>
      <c r="F284" s="1"/>
    </row>
    <row r="285" spans="5:6" x14ac:dyDescent="0.3">
      <c r="E285" s="1"/>
      <c r="F285" s="1"/>
    </row>
    <row r="286" spans="5:6" x14ac:dyDescent="0.3">
      <c r="E286" s="1"/>
      <c r="F286" s="1"/>
    </row>
    <row r="287" spans="5:6" x14ac:dyDescent="0.3">
      <c r="E287" s="1"/>
      <c r="F287" s="1"/>
    </row>
    <row r="288" spans="5:6" x14ac:dyDescent="0.3">
      <c r="E288" s="1"/>
      <c r="F288" s="1"/>
    </row>
    <row r="289" spans="5:6" x14ac:dyDescent="0.3">
      <c r="E289" s="1"/>
      <c r="F289" s="1"/>
    </row>
    <row r="290" spans="5:6" x14ac:dyDescent="0.3">
      <c r="E290" s="1"/>
      <c r="F290" s="1"/>
    </row>
    <row r="291" spans="5:6" x14ac:dyDescent="0.3">
      <c r="E291" s="1"/>
      <c r="F291" s="1"/>
    </row>
    <row r="292" spans="5:6" x14ac:dyDescent="0.3">
      <c r="E292" s="1"/>
      <c r="F292" s="1"/>
    </row>
    <row r="293" spans="5:6" x14ac:dyDescent="0.3">
      <c r="E293" s="1"/>
      <c r="F293" s="1"/>
    </row>
    <row r="294" spans="5:6" x14ac:dyDescent="0.3">
      <c r="E294" s="1"/>
      <c r="F294" s="1"/>
    </row>
    <row r="295" spans="5:6" x14ac:dyDescent="0.3">
      <c r="E295" s="1"/>
      <c r="F295" s="1"/>
    </row>
    <row r="296" spans="5:6" x14ac:dyDescent="0.3">
      <c r="E296" s="1"/>
      <c r="F296" s="1"/>
    </row>
    <row r="297" spans="5:6" x14ac:dyDescent="0.3">
      <c r="E297" s="1"/>
      <c r="F297" s="1"/>
    </row>
    <row r="298" spans="5:6" x14ac:dyDescent="0.3">
      <c r="E298" s="1"/>
      <c r="F298" s="1"/>
    </row>
    <row r="299" spans="5:6" x14ac:dyDescent="0.3">
      <c r="E299" s="1"/>
      <c r="F299" s="1"/>
    </row>
    <row r="300" spans="5:6" x14ac:dyDescent="0.3">
      <c r="E300" s="1"/>
      <c r="F300" s="1"/>
    </row>
    <row r="301" spans="5:6" x14ac:dyDescent="0.3">
      <c r="E301" s="1"/>
      <c r="F301" s="1"/>
    </row>
    <row r="302" spans="5:6" x14ac:dyDescent="0.3">
      <c r="E302" s="1"/>
      <c r="F302" s="1"/>
    </row>
    <row r="303" spans="5:6" x14ac:dyDescent="0.3">
      <c r="E303" s="1"/>
      <c r="F303" s="1"/>
    </row>
    <row r="304" spans="5:6" x14ac:dyDescent="0.3">
      <c r="E304" s="1"/>
      <c r="F304" s="1"/>
    </row>
    <row r="305" spans="5:6" x14ac:dyDescent="0.3">
      <c r="E305" s="1"/>
      <c r="F305" s="1"/>
    </row>
    <row r="306" spans="5:6" x14ac:dyDescent="0.3">
      <c r="E306" s="1"/>
      <c r="F306" s="1"/>
    </row>
    <row r="307" spans="5:6" x14ac:dyDescent="0.3">
      <c r="E307" s="1"/>
      <c r="F307" s="1"/>
    </row>
    <row r="308" spans="5:6" x14ac:dyDescent="0.3">
      <c r="E308" s="1"/>
      <c r="F308" s="1"/>
    </row>
    <row r="309" spans="5:6" x14ac:dyDescent="0.3">
      <c r="E309" s="1"/>
      <c r="F309" s="1"/>
    </row>
    <row r="310" spans="5:6" x14ac:dyDescent="0.3">
      <c r="E310" s="1"/>
      <c r="F310" s="1"/>
    </row>
    <row r="311" spans="5:6" x14ac:dyDescent="0.3">
      <c r="E311" s="1"/>
      <c r="F311" s="1"/>
    </row>
    <row r="312" spans="5:6" x14ac:dyDescent="0.3">
      <c r="E312" s="1"/>
      <c r="F312" s="1"/>
    </row>
    <row r="313" spans="5:6" x14ac:dyDescent="0.3">
      <c r="E313" s="1"/>
      <c r="F313" s="1"/>
    </row>
    <row r="314" spans="5:6" x14ac:dyDescent="0.3">
      <c r="E314" s="1"/>
      <c r="F314" s="1"/>
    </row>
    <row r="315" spans="5:6" x14ac:dyDescent="0.3">
      <c r="E315" s="1"/>
      <c r="F315" s="1"/>
    </row>
    <row r="316" spans="5:6" x14ac:dyDescent="0.3">
      <c r="E316" s="1"/>
      <c r="F316" s="1"/>
    </row>
    <row r="317" spans="5:6" x14ac:dyDescent="0.3">
      <c r="E317" s="1"/>
      <c r="F317" s="1"/>
    </row>
    <row r="318" spans="5:6" x14ac:dyDescent="0.3">
      <c r="E318" s="1"/>
      <c r="F318" s="1"/>
    </row>
    <row r="319" spans="5:6" x14ac:dyDescent="0.3">
      <c r="E319" s="1"/>
      <c r="F319" s="1"/>
    </row>
    <row r="320" spans="5:6" x14ac:dyDescent="0.3">
      <c r="E320" s="1"/>
      <c r="F320" s="1"/>
    </row>
    <row r="321" spans="5:6" x14ac:dyDescent="0.3">
      <c r="E321" s="1"/>
      <c r="F321" s="1"/>
    </row>
    <row r="322" spans="5:6" x14ac:dyDescent="0.3">
      <c r="E322" s="1"/>
      <c r="F322" s="1"/>
    </row>
    <row r="323" spans="5:6" x14ac:dyDescent="0.3">
      <c r="E323" s="1"/>
      <c r="F323" s="1"/>
    </row>
    <row r="324" spans="5:6" x14ac:dyDescent="0.3">
      <c r="E324" s="1"/>
      <c r="F324" s="1"/>
    </row>
    <row r="325" spans="5:6" x14ac:dyDescent="0.3">
      <c r="E325" s="1"/>
      <c r="F325" s="1"/>
    </row>
    <row r="326" spans="5:6" x14ac:dyDescent="0.3">
      <c r="E326" s="1"/>
      <c r="F326" s="1"/>
    </row>
    <row r="327" spans="5:6" x14ac:dyDescent="0.3">
      <c r="E327" s="1"/>
      <c r="F327" s="1"/>
    </row>
    <row r="328" spans="5:6" x14ac:dyDescent="0.3">
      <c r="E328" s="1"/>
      <c r="F328" s="1"/>
    </row>
    <row r="329" spans="5:6" x14ac:dyDescent="0.3">
      <c r="E329" s="1"/>
      <c r="F329" s="1"/>
    </row>
    <row r="330" spans="5:6" x14ac:dyDescent="0.3">
      <c r="E330" s="1"/>
      <c r="F330" s="1"/>
    </row>
    <row r="331" spans="5:6" x14ac:dyDescent="0.3">
      <c r="E331" s="1"/>
      <c r="F331" s="1"/>
    </row>
    <row r="332" spans="5:6" x14ac:dyDescent="0.3">
      <c r="E332" s="1"/>
      <c r="F332" s="1"/>
    </row>
    <row r="333" spans="5:6" x14ac:dyDescent="0.3">
      <c r="E333" s="1"/>
      <c r="F333" s="1"/>
    </row>
    <row r="334" spans="5:6" x14ac:dyDescent="0.3">
      <c r="E334" s="1"/>
      <c r="F334" s="1"/>
    </row>
    <row r="335" spans="5:6" x14ac:dyDescent="0.3">
      <c r="E335" s="1"/>
      <c r="F335" s="1"/>
    </row>
    <row r="336" spans="5:6" x14ac:dyDescent="0.3">
      <c r="E336" s="1"/>
      <c r="F336" s="1"/>
    </row>
    <row r="337" spans="5:6" x14ac:dyDescent="0.3">
      <c r="E337" s="1"/>
      <c r="F337" s="1"/>
    </row>
    <row r="338" spans="5:6" x14ac:dyDescent="0.3">
      <c r="E338" s="1"/>
      <c r="F338" s="1"/>
    </row>
    <row r="339" spans="5:6" x14ac:dyDescent="0.3">
      <c r="E339" s="1"/>
      <c r="F339" s="1"/>
    </row>
    <row r="340" spans="5:6" x14ac:dyDescent="0.3">
      <c r="E340" s="1"/>
      <c r="F340" s="1"/>
    </row>
    <row r="341" spans="5:6" x14ac:dyDescent="0.3">
      <c r="E341" s="1"/>
      <c r="F341" s="1"/>
    </row>
    <row r="342" spans="5:6" x14ac:dyDescent="0.3">
      <c r="E342" s="1"/>
      <c r="F342" s="1"/>
    </row>
    <row r="343" spans="5:6" x14ac:dyDescent="0.3">
      <c r="E343" s="1"/>
      <c r="F343" s="1"/>
    </row>
    <row r="344" spans="5:6" x14ac:dyDescent="0.3">
      <c r="E344" s="1"/>
      <c r="F344" s="1"/>
    </row>
    <row r="345" spans="5:6" x14ac:dyDescent="0.3">
      <c r="E345" s="1"/>
      <c r="F345" s="1"/>
    </row>
    <row r="346" spans="5:6" x14ac:dyDescent="0.3">
      <c r="E346" s="1"/>
      <c r="F346" s="1"/>
    </row>
    <row r="347" spans="5:6" x14ac:dyDescent="0.3">
      <c r="E347" s="1"/>
      <c r="F347" s="1"/>
    </row>
    <row r="348" spans="5:6" x14ac:dyDescent="0.3">
      <c r="E348" s="1"/>
      <c r="F348" s="1"/>
    </row>
    <row r="349" spans="5:6" x14ac:dyDescent="0.3">
      <c r="E349" s="1"/>
      <c r="F349" s="1"/>
    </row>
    <row r="350" spans="5:6" x14ac:dyDescent="0.3">
      <c r="E350" s="1"/>
      <c r="F350" s="1"/>
    </row>
    <row r="351" spans="5:6" x14ac:dyDescent="0.3">
      <c r="E351" s="1"/>
      <c r="F351" s="1"/>
    </row>
    <row r="352" spans="5:6" x14ac:dyDescent="0.3">
      <c r="E352" s="1"/>
      <c r="F352" s="1"/>
    </row>
    <row r="353" spans="5:6" x14ac:dyDescent="0.3">
      <c r="E353" s="1"/>
      <c r="F353" s="1"/>
    </row>
    <row r="354" spans="5:6" x14ac:dyDescent="0.3">
      <c r="E354" s="1"/>
      <c r="F354" s="1"/>
    </row>
    <row r="355" spans="5:6" x14ac:dyDescent="0.3">
      <c r="E355" s="1"/>
      <c r="F355" s="1"/>
    </row>
    <row r="356" spans="5:6" x14ac:dyDescent="0.3">
      <c r="E356" s="1"/>
      <c r="F356" s="1"/>
    </row>
    <row r="357" spans="5:6" x14ac:dyDescent="0.3">
      <c r="E357" s="1"/>
      <c r="F357" s="1"/>
    </row>
    <row r="358" spans="5:6" x14ac:dyDescent="0.3">
      <c r="E358" s="1"/>
      <c r="F358" s="1"/>
    </row>
    <row r="359" spans="5:6" x14ac:dyDescent="0.3">
      <c r="E359" s="1"/>
      <c r="F359" s="1"/>
    </row>
    <row r="360" spans="5:6" x14ac:dyDescent="0.3">
      <c r="E360" s="1"/>
      <c r="F360" s="1"/>
    </row>
    <row r="361" spans="5:6" x14ac:dyDescent="0.3">
      <c r="E361" s="1"/>
      <c r="F361" s="1"/>
    </row>
    <row r="362" spans="5:6" x14ac:dyDescent="0.3">
      <c r="E362" s="1"/>
      <c r="F362" s="1"/>
    </row>
    <row r="363" spans="5:6" x14ac:dyDescent="0.3">
      <c r="E363" s="1"/>
      <c r="F363" s="1"/>
    </row>
    <row r="364" spans="5:6" x14ac:dyDescent="0.3">
      <c r="E364" s="1"/>
      <c r="F364" s="1"/>
    </row>
    <row r="365" spans="5:6" x14ac:dyDescent="0.3">
      <c r="E365" s="1"/>
      <c r="F365" s="1"/>
    </row>
    <row r="366" spans="5:6" x14ac:dyDescent="0.3">
      <c r="E366" s="1"/>
      <c r="F366" s="1"/>
    </row>
    <row r="367" spans="5:6" x14ac:dyDescent="0.3">
      <c r="E367" s="1"/>
      <c r="F367" s="1"/>
    </row>
    <row r="368" spans="5:6" x14ac:dyDescent="0.3">
      <c r="E368" s="1"/>
      <c r="F368" s="1"/>
    </row>
    <row r="369" spans="5:6" x14ac:dyDescent="0.3">
      <c r="E369" s="1"/>
      <c r="F369" s="1"/>
    </row>
    <row r="370" spans="5:6" x14ac:dyDescent="0.3">
      <c r="E370" s="1"/>
      <c r="F370" s="1"/>
    </row>
    <row r="371" spans="5:6" x14ac:dyDescent="0.3">
      <c r="E371" s="1"/>
      <c r="F371" s="1"/>
    </row>
    <row r="372" spans="5:6" x14ac:dyDescent="0.3">
      <c r="E372" s="1"/>
      <c r="F372" s="1"/>
    </row>
    <row r="373" spans="5:6" x14ac:dyDescent="0.3">
      <c r="E373" s="1"/>
      <c r="F373" s="1"/>
    </row>
    <row r="374" spans="5:6" x14ac:dyDescent="0.3">
      <c r="E374" s="1"/>
      <c r="F374" s="1"/>
    </row>
    <row r="375" spans="5:6" x14ac:dyDescent="0.3">
      <c r="E375" s="1"/>
      <c r="F375" s="1"/>
    </row>
    <row r="376" spans="5:6" x14ac:dyDescent="0.3">
      <c r="E376" s="1"/>
      <c r="F376" s="1"/>
    </row>
    <row r="377" spans="5:6" x14ac:dyDescent="0.3">
      <c r="E377" s="1"/>
      <c r="F377" s="1"/>
    </row>
    <row r="378" spans="5:6" x14ac:dyDescent="0.3">
      <c r="E378" s="1"/>
      <c r="F378" s="1"/>
    </row>
    <row r="379" spans="5:6" x14ac:dyDescent="0.3">
      <c r="E379" s="1"/>
      <c r="F379" s="1"/>
    </row>
    <row r="380" spans="5:6" x14ac:dyDescent="0.3">
      <c r="E380" s="1"/>
      <c r="F380" s="1"/>
    </row>
    <row r="381" spans="5:6" x14ac:dyDescent="0.3">
      <c r="E381" s="1"/>
      <c r="F381" s="1"/>
    </row>
    <row r="382" spans="5:6" x14ac:dyDescent="0.3">
      <c r="E382" s="1"/>
      <c r="F382" s="1"/>
    </row>
    <row r="383" spans="5:6" x14ac:dyDescent="0.3">
      <c r="E383" s="1"/>
      <c r="F383" s="1"/>
    </row>
    <row r="384" spans="5:6" x14ac:dyDescent="0.3">
      <c r="E384" s="1"/>
      <c r="F384" s="1"/>
    </row>
    <row r="385" spans="5:6" x14ac:dyDescent="0.3">
      <c r="E385" s="1"/>
      <c r="F385" s="1"/>
    </row>
    <row r="386" spans="5:6" x14ac:dyDescent="0.3">
      <c r="E386" s="1"/>
      <c r="F386" s="1"/>
    </row>
    <row r="387" spans="5:6" x14ac:dyDescent="0.3">
      <c r="E387" s="1"/>
      <c r="F387" s="1"/>
    </row>
    <row r="388" spans="5:6" x14ac:dyDescent="0.3">
      <c r="E388" s="1"/>
      <c r="F388" s="1"/>
    </row>
    <row r="389" spans="5:6" x14ac:dyDescent="0.3">
      <c r="E389" s="1"/>
      <c r="F389" s="1"/>
    </row>
    <row r="390" spans="5:6" x14ac:dyDescent="0.3">
      <c r="E390" s="1"/>
      <c r="F390" s="1"/>
    </row>
    <row r="391" spans="5:6" x14ac:dyDescent="0.3">
      <c r="E391" s="1"/>
      <c r="F391" s="1"/>
    </row>
    <row r="392" spans="5:6" x14ac:dyDescent="0.3">
      <c r="E392" s="1"/>
      <c r="F392" s="1"/>
    </row>
    <row r="393" spans="5:6" x14ac:dyDescent="0.3">
      <c r="E393" s="1"/>
      <c r="F393" s="1"/>
    </row>
    <row r="394" spans="5:6" x14ac:dyDescent="0.3">
      <c r="E394" s="1"/>
      <c r="F394" s="1"/>
    </row>
    <row r="395" spans="5:6" x14ac:dyDescent="0.3">
      <c r="E395" s="1"/>
      <c r="F395" s="1"/>
    </row>
    <row r="396" spans="5:6" x14ac:dyDescent="0.3">
      <c r="E396" s="1"/>
      <c r="F396" s="1"/>
    </row>
    <row r="397" spans="5:6" x14ac:dyDescent="0.3">
      <c r="E397" s="1"/>
      <c r="F397" s="1"/>
    </row>
    <row r="398" spans="5:6" x14ac:dyDescent="0.3">
      <c r="E398" s="1"/>
      <c r="F398" s="1"/>
    </row>
    <row r="399" spans="5:6" x14ac:dyDescent="0.3">
      <c r="E399" s="1"/>
      <c r="F399" s="1"/>
    </row>
    <row r="400" spans="5:6" x14ac:dyDescent="0.3">
      <c r="E400" s="1"/>
      <c r="F400" s="1"/>
    </row>
    <row r="401" spans="5:6" x14ac:dyDescent="0.3">
      <c r="E401" s="1"/>
      <c r="F401" s="1"/>
    </row>
    <row r="402" spans="5:6" x14ac:dyDescent="0.3">
      <c r="E402" s="1"/>
      <c r="F402" s="1"/>
    </row>
    <row r="403" spans="5:6" x14ac:dyDescent="0.3">
      <c r="E403" s="1"/>
      <c r="F403" s="1"/>
    </row>
    <row r="404" spans="5:6" x14ac:dyDescent="0.3">
      <c r="E404" s="1"/>
      <c r="F404" s="1"/>
    </row>
    <row r="405" spans="5:6" x14ac:dyDescent="0.3">
      <c r="E405" s="1"/>
      <c r="F405" s="1"/>
    </row>
    <row r="406" spans="5:6" x14ac:dyDescent="0.3">
      <c r="E406" s="1"/>
      <c r="F406" s="1"/>
    </row>
    <row r="407" spans="5:6" x14ac:dyDescent="0.3">
      <c r="E407" s="1"/>
      <c r="F407" s="1"/>
    </row>
    <row r="408" spans="5:6" x14ac:dyDescent="0.3">
      <c r="E408" s="1"/>
      <c r="F408" s="1"/>
    </row>
    <row r="409" spans="5:6" x14ac:dyDescent="0.3">
      <c r="E409" s="1"/>
      <c r="F409" s="1"/>
    </row>
    <row r="410" spans="5:6" x14ac:dyDescent="0.3">
      <c r="E410" s="1"/>
      <c r="F410" s="1"/>
    </row>
    <row r="411" spans="5:6" x14ac:dyDescent="0.3">
      <c r="E411" s="1"/>
      <c r="F411" s="1"/>
    </row>
    <row r="412" spans="5:6" x14ac:dyDescent="0.3">
      <c r="E412" s="1"/>
      <c r="F412" s="1"/>
    </row>
    <row r="413" spans="5:6" x14ac:dyDescent="0.3">
      <c r="E413" s="1"/>
      <c r="F413" s="1"/>
    </row>
    <row r="414" spans="5:6" x14ac:dyDescent="0.3">
      <c r="E414" s="1"/>
      <c r="F414" s="1"/>
    </row>
    <row r="415" spans="5:6" x14ac:dyDescent="0.3">
      <c r="E415" s="1"/>
      <c r="F415" s="1"/>
    </row>
    <row r="416" spans="5:6" x14ac:dyDescent="0.3">
      <c r="E416" s="1"/>
      <c r="F416" s="1"/>
    </row>
    <row r="417" spans="5:6" x14ac:dyDescent="0.3">
      <c r="E417" s="1"/>
      <c r="F417" s="1"/>
    </row>
    <row r="418" spans="5:6" x14ac:dyDescent="0.3">
      <c r="E418" s="1"/>
      <c r="F418" s="1"/>
    </row>
    <row r="419" spans="5:6" x14ac:dyDescent="0.3">
      <c r="E419" s="1"/>
      <c r="F419" s="1"/>
    </row>
    <row r="420" spans="5:6" x14ac:dyDescent="0.3">
      <c r="E420" s="1"/>
      <c r="F420" s="1"/>
    </row>
    <row r="421" spans="5:6" x14ac:dyDescent="0.3">
      <c r="E421" s="1"/>
      <c r="F421" s="1"/>
    </row>
    <row r="422" spans="5:6" x14ac:dyDescent="0.3">
      <c r="E422" s="1"/>
      <c r="F422" s="1"/>
    </row>
    <row r="423" spans="5:6" x14ac:dyDescent="0.3">
      <c r="E423" s="1"/>
      <c r="F423" s="1"/>
    </row>
    <row r="424" spans="5:6" x14ac:dyDescent="0.3">
      <c r="E424" s="1"/>
      <c r="F424" s="1"/>
    </row>
    <row r="425" spans="5:6" x14ac:dyDescent="0.3">
      <c r="E425" s="1"/>
      <c r="F425" s="1"/>
    </row>
    <row r="426" spans="5:6" x14ac:dyDescent="0.3">
      <c r="E426" s="1"/>
      <c r="F426" s="1"/>
    </row>
    <row r="427" spans="5:6" x14ac:dyDescent="0.3">
      <c r="E427" s="1"/>
      <c r="F427" s="1"/>
    </row>
    <row r="428" spans="5:6" x14ac:dyDescent="0.3">
      <c r="E428" s="1"/>
      <c r="F428" s="1"/>
    </row>
    <row r="429" spans="5:6" x14ac:dyDescent="0.3">
      <c r="E429" s="1"/>
      <c r="F429" s="1"/>
    </row>
    <row r="430" spans="5:6" x14ac:dyDescent="0.3">
      <c r="E430" s="1"/>
      <c r="F430" s="1"/>
    </row>
    <row r="431" spans="5:6" x14ac:dyDescent="0.3">
      <c r="E431" s="1"/>
      <c r="F431" s="1"/>
    </row>
    <row r="432" spans="5:6" x14ac:dyDescent="0.3">
      <c r="E432" s="1"/>
      <c r="F432" s="1"/>
    </row>
    <row r="433" spans="5:6" x14ac:dyDescent="0.3">
      <c r="E433" s="1"/>
      <c r="F433" s="1"/>
    </row>
    <row r="434" spans="5:6" x14ac:dyDescent="0.3">
      <c r="E434" s="1"/>
      <c r="F434" s="1"/>
    </row>
    <row r="435" spans="5:6" x14ac:dyDescent="0.3">
      <c r="E435" s="1"/>
      <c r="F435" s="1"/>
    </row>
    <row r="436" spans="5:6" x14ac:dyDescent="0.3">
      <c r="E436" s="1"/>
      <c r="F436" s="1"/>
    </row>
    <row r="437" spans="5:6" x14ac:dyDescent="0.3">
      <c r="E437" s="1"/>
      <c r="F437" s="1"/>
    </row>
    <row r="438" spans="5:6" x14ac:dyDescent="0.3">
      <c r="E438" s="1"/>
      <c r="F438" s="1"/>
    </row>
    <row r="439" spans="5:6" x14ac:dyDescent="0.3">
      <c r="E439" s="1"/>
      <c r="F439" s="1"/>
    </row>
    <row r="440" spans="5:6" x14ac:dyDescent="0.3">
      <c r="E440" s="1"/>
      <c r="F440" s="1"/>
    </row>
    <row r="441" spans="5:6" x14ac:dyDescent="0.3">
      <c r="E441" s="1"/>
      <c r="F441" s="1"/>
    </row>
    <row r="442" spans="5:6" x14ac:dyDescent="0.3">
      <c r="E442" s="1"/>
      <c r="F442" s="1"/>
    </row>
    <row r="443" spans="5:6" x14ac:dyDescent="0.3">
      <c r="E443" s="1"/>
      <c r="F443" s="1"/>
    </row>
    <row r="444" spans="5:6" x14ac:dyDescent="0.3">
      <c r="E444" s="1"/>
      <c r="F444" s="1"/>
    </row>
    <row r="445" spans="5:6" x14ac:dyDescent="0.3">
      <c r="E445" s="1"/>
      <c r="F445" s="1"/>
    </row>
    <row r="446" spans="5:6" x14ac:dyDescent="0.3">
      <c r="E446" s="1"/>
      <c r="F446" s="1"/>
    </row>
    <row r="447" spans="5:6" x14ac:dyDescent="0.3">
      <c r="E447" s="1"/>
      <c r="F447" s="1"/>
    </row>
    <row r="448" spans="5:6" x14ac:dyDescent="0.3">
      <c r="E448" s="1"/>
      <c r="F448" s="1"/>
    </row>
    <row r="449" spans="5:6" x14ac:dyDescent="0.3">
      <c r="E449" s="1"/>
      <c r="F449" s="1"/>
    </row>
    <row r="450" spans="5:6" x14ac:dyDescent="0.3">
      <c r="E450" s="1"/>
      <c r="F450" s="1"/>
    </row>
    <row r="451" spans="5:6" x14ac:dyDescent="0.3">
      <c r="E451" s="1"/>
      <c r="F451" s="1"/>
    </row>
    <row r="452" spans="5:6" x14ac:dyDescent="0.3">
      <c r="E452" s="1"/>
      <c r="F452" s="1"/>
    </row>
    <row r="453" spans="5:6" x14ac:dyDescent="0.3">
      <c r="E453" s="1"/>
      <c r="F453" s="1"/>
    </row>
    <row r="454" spans="5:6" x14ac:dyDescent="0.3">
      <c r="E454" s="1"/>
      <c r="F454" s="1"/>
    </row>
    <row r="455" spans="5:6" x14ac:dyDescent="0.3">
      <c r="E455" s="1"/>
      <c r="F455" s="1"/>
    </row>
    <row r="456" spans="5:6" x14ac:dyDescent="0.3">
      <c r="E456" s="1"/>
      <c r="F456" s="1"/>
    </row>
    <row r="457" spans="5:6" x14ac:dyDescent="0.3">
      <c r="E457" s="1"/>
      <c r="F457" s="1"/>
    </row>
    <row r="458" spans="5:6" x14ac:dyDescent="0.3">
      <c r="E458" s="1"/>
      <c r="F458" s="1"/>
    </row>
    <row r="459" spans="5:6" x14ac:dyDescent="0.3">
      <c r="E459" s="1"/>
      <c r="F459" s="1"/>
    </row>
    <row r="460" spans="5:6" x14ac:dyDescent="0.3">
      <c r="E460" s="1"/>
      <c r="F460" s="1"/>
    </row>
    <row r="461" spans="5:6" x14ac:dyDescent="0.3">
      <c r="E461" s="1"/>
      <c r="F461" s="1"/>
    </row>
    <row r="462" spans="5:6" x14ac:dyDescent="0.3">
      <c r="E462" s="1"/>
      <c r="F462" s="1"/>
    </row>
    <row r="463" spans="5:6" x14ac:dyDescent="0.3">
      <c r="E463" s="1"/>
      <c r="F463" s="1"/>
    </row>
    <row r="464" spans="5:6" x14ac:dyDescent="0.3">
      <c r="E464" s="1"/>
      <c r="F464" s="1"/>
    </row>
    <row r="465" spans="5:6" x14ac:dyDescent="0.3">
      <c r="E465" s="1"/>
      <c r="F465" s="1"/>
    </row>
    <row r="466" spans="5:6" x14ac:dyDescent="0.3">
      <c r="E466" s="1"/>
      <c r="F466" s="1"/>
    </row>
    <row r="467" spans="5:6" x14ac:dyDescent="0.3">
      <c r="E467" s="1"/>
      <c r="F467" s="1"/>
    </row>
    <row r="468" spans="5:6" x14ac:dyDescent="0.3">
      <c r="E468" s="1"/>
      <c r="F468" s="1"/>
    </row>
    <row r="469" spans="5:6" x14ac:dyDescent="0.3">
      <c r="E469" s="1"/>
      <c r="F469" s="1"/>
    </row>
    <row r="470" spans="5:6" x14ac:dyDescent="0.3">
      <c r="E470" s="1"/>
      <c r="F470" s="1"/>
    </row>
    <row r="471" spans="5:6" x14ac:dyDescent="0.3">
      <c r="E471" s="1"/>
      <c r="F471" s="1"/>
    </row>
    <row r="472" spans="5:6" x14ac:dyDescent="0.3">
      <c r="E472" s="1"/>
      <c r="F472" s="1"/>
    </row>
    <row r="473" spans="5:6" x14ac:dyDescent="0.3">
      <c r="E473" s="1"/>
      <c r="F473" s="1"/>
    </row>
    <row r="474" spans="5:6" x14ac:dyDescent="0.3">
      <c r="E474" s="1"/>
      <c r="F474" s="1"/>
    </row>
    <row r="475" spans="5:6" x14ac:dyDescent="0.3">
      <c r="E475" s="1"/>
      <c r="F475" s="1"/>
    </row>
    <row r="476" spans="5:6" x14ac:dyDescent="0.3">
      <c r="E476" s="1"/>
      <c r="F476" s="1"/>
    </row>
    <row r="477" spans="5:6" x14ac:dyDescent="0.3">
      <c r="E477" s="1"/>
      <c r="F477" s="1"/>
    </row>
    <row r="478" spans="5:6" x14ac:dyDescent="0.3">
      <c r="E478" s="1"/>
      <c r="F478" s="1"/>
    </row>
    <row r="479" spans="5:6" x14ac:dyDescent="0.3">
      <c r="E479" s="1"/>
      <c r="F479" s="1"/>
    </row>
    <row r="480" spans="5:6" x14ac:dyDescent="0.3">
      <c r="E480" s="1"/>
      <c r="F480" s="1"/>
    </row>
    <row r="481" spans="5:6" x14ac:dyDescent="0.3">
      <c r="E481" s="1"/>
      <c r="F481" s="1"/>
    </row>
    <row r="482" spans="5:6" x14ac:dyDescent="0.3">
      <c r="E482" s="1"/>
      <c r="F482" s="1"/>
    </row>
    <row r="483" spans="5:6" x14ac:dyDescent="0.3">
      <c r="E483" s="1"/>
      <c r="F483" s="1"/>
    </row>
    <row r="484" spans="5:6" x14ac:dyDescent="0.3">
      <c r="E484" s="1"/>
      <c r="F484" s="1"/>
    </row>
    <row r="485" spans="5:6" x14ac:dyDescent="0.3">
      <c r="E485" s="1"/>
      <c r="F485" s="1"/>
    </row>
    <row r="486" spans="5:6" x14ac:dyDescent="0.3">
      <c r="E486" s="1"/>
      <c r="F486" s="1"/>
    </row>
    <row r="487" spans="5:6" x14ac:dyDescent="0.3">
      <c r="E487" s="1"/>
      <c r="F487" s="1"/>
    </row>
    <row r="488" spans="5:6" x14ac:dyDescent="0.3">
      <c r="E488" s="1"/>
      <c r="F488" s="1"/>
    </row>
    <row r="489" spans="5:6" x14ac:dyDescent="0.3">
      <c r="E489" s="1"/>
      <c r="F489" s="1"/>
    </row>
    <row r="490" spans="5:6" x14ac:dyDescent="0.3">
      <c r="E490" s="1"/>
      <c r="F490" s="1"/>
    </row>
    <row r="491" spans="5:6" x14ac:dyDescent="0.3">
      <c r="E491" s="1"/>
      <c r="F491" s="1"/>
    </row>
    <row r="492" spans="5:6" x14ac:dyDescent="0.3">
      <c r="E492" s="1"/>
      <c r="F492" s="1"/>
    </row>
    <row r="493" spans="5:6" x14ac:dyDescent="0.3">
      <c r="E493" s="1"/>
      <c r="F493" s="1"/>
    </row>
    <row r="494" spans="5:6" x14ac:dyDescent="0.3">
      <c r="E494" s="1"/>
      <c r="F494" s="1"/>
    </row>
    <row r="495" spans="5:6" x14ac:dyDescent="0.3">
      <c r="E495" s="1"/>
      <c r="F495" s="1"/>
    </row>
    <row r="496" spans="5:6" x14ac:dyDescent="0.3">
      <c r="E496" s="1"/>
      <c r="F496" s="1"/>
    </row>
    <row r="497" spans="5:6" x14ac:dyDescent="0.3">
      <c r="E497" s="1"/>
      <c r="F497" s="1"/>
    </row>
    <row r="498" spans="5:6" x14ac:dyDescent="0.3">
      <c r="E498" s="1"/>
      <c r="F498" s="1"/>
    </row>
    <row r="499" spans="5:6" x14ac:dyDescent="0.3">
      <c r="E499" s="1"/>
      <c r="F499" s="1"/>
    </row>
    <row r="500" spans="5:6" x14ac:dyDescent="0.3">
      <c r="E500" s="1"/>
      <c r="F500" s="1"/>
    </row>
    <row r="501" spans="5:6" x14ac:dyDescent="0.3">
      <c r="E501" s="1"/>
      <c r="F501" s="1"/>
    </row>
    <row r="502" spans="5:6" x14ac:dyDescent="0.3">
      <c r="E502" s="1"/>
      <c r="F502" s="1"/>
    </row>
    <row r="503" spans="5:6" x14ac:dyDescent="0.3">
      <c r="E503" s="1"/>
      <c r="F503" s="1"/>
    </row>
    <row r="504" spans="5:6" x14ac:dyDescent="0.3">
      <c r="E504" s="1"/>
      <c r="F504" s="1"/>
    </row>
    <row r="505" spans="5:6" x14ac:dyDescent="0.3">
      <c r="E505" s="1"/>
      <c r="F505" s="1"/>
    </row>
    <row r="506" spans="5:6" x14ac:dyDescent="0.3">
      <c r="E506" s="1"/>
      <c r="F506" s="1"/>
    </row>
    <row r="507" spans="5:6" x14ac:dyDescent="0.3">
      <c r="E507" s="1"/>
      <c r="F507" s="1"/>
    </row>
    <row r="508" spans="5:6" x14ac:dyDescent="0.3">
      <c r="E508" s="1"/>
      <c r="F508" s="1"/>
    </row>
    <row r="509" spans="5:6" x14ac:dyDescent="0.3">
      <c r="E509" s="1"/>
      <c r="F509" s="1"/>
    </row>
    <row r="510" spans="5:6" x14ac:dyDescent="0.3">
      <c r="E510" s="1"/>
      <c r="F510" s="1"/>
    </row>
    <row r="511" spans="5:6" x14ac:dyDescent="0.3">
      <c r="E511" s="1"/>
      <c r="F511" s="1"/>
    </row>
    <row r="512" spans="5:6" x14ac:dyDescent="0.3">
      <c r="E512" s="1"/>
      <c r="F512" s="1"/>
    </row>
    <row r="513" spans="5:6" x14ac:dyDescent="0.3">
      <c r="E513" s="1"/>
      <c r="F513" s="1"/>
    </row>
    <row r="514" spans="5:6" x14ac:dyDescent="0.3">
      <c r="E514" s="1"/>
      <c r="F514" s="1"/>
    </row>
    <row r="515" spans="5:6" x14ac:dyDescent="0.3">
      <c r="E515" s="1"/>
      <c r="F515" s="1"/>
    </row>
    <row r="516" spans="5:6" x14ac:dyDescent="0.3">
      <c r="E516" s="1"/>
      <c r="F516" s="1"/>
    </row>
    <row r="517" spans="5:6" x14ac:dyDescent="0.3">
      <c r="E517" s="1"/>
      <c r="F517" s="1"/>
    </row>
    <row r="518" spans="5:6" x14ac:dyDescent="0.3">
      <c r="E518" s="1"/>
      <c r="F518" s="1"/>
    </row>
    <row r="519" spans="5:6" x14ac:dyDescent="0.3">
      <c r="E519" s="1"/>
      <c r="F519" s="1"/>
    </row>
    <row r="520" spans="5:6" x14ac:dyDescent="0.3">
      <c r="E520" s="1"/>
      <c r="F520" s="1"/>
    </row>
    <row r="521" spans="5:6" x14ac:dyDescent="0.3">
      <c r="E521" s="1"/>
      <c r="F521" s="1"/>
    </row>
    <row r="522" spans="5:6" x14ac:dyDescent="0.3">
      <c r="E522" s="1"/>
      <c r="F522" s="1"/>
    </row>
    <row r="523" spans="5:6" x14ac:dyDescent="0.3">
      <c r="E523" s="1"/>
      <c r="F523" s="1"/>
    </row>
    <row r="524" spans="5:6" x14ac:dyDescent="0.3">
      <c r="E524" s="1"/>
      <c r="F524" s="1"/>
    </row>
    <row r="525" spans="5:6" x14ac:dyDescent="0.3">
      <c r="E525" s="1"/>
      <c r="F525" s="1"/>
    </row>
    <row r="526" spans="5:6" x14ac:dyDescent="0.3">
      <c r="E526" s="1"/>
      <c r="F526" s="1"/>
    </row>
    <row r="527" spans="5:6" x14ac:dyDescent="0.3">
      <c r="E527" s="1"/>
      <c r="F527" s="1"/>
    </row>
    <row r="528" spans="5:6" x14ac:dyDescent="0.3">
      <c r="E528" s="1"/>
      <c r="F528" s="1"/>
    </row>
    <row r="529" spans="5:6" x14ac:dyDescent="0.3">
      <c r="E529" s="1"/>
      <c r="F529" s="1"/>
    </row>
    <row r="530" spans="5:6" x14ac:dyDescent="0.3">
      <c r="E530" s="1"/>
      <c r="F530" s="1"/>
    </row>
    <row r="531" spans="5:6" x14ac:dyDescent="0.3">
      <c r="E531" s="1"/>
      <c r="F531" s="1"/>
    </row>
    <row r="532" spans="5:6" x14ac:dyDescent="0.3">
      <c r="E532" s="1"/>
      <c r="F532" s="1"/>
    </row>
    <row r="533" spans="5:6" x14ac:dyDescent="0.3">
      <c r="E533" s="1"/>
      <c r="F533" s="1"/>
    </row>
    <row r="534" spans="5:6" x14ac:dyDescent="0.3">
      <c r="E534" s="1"/>
      <c r="F534" s="1"/>
    </row>
    <row r="535" spans="5:6" x14ac:dyDescent="0.3">
      <c r="E535" s="1"/>
      <c r="F535" s="1"/>
    </row>
    <row r="536" spans="5:6" x14ac:dyDescent="0.3">
      <c r="E536" s="1"/>
      <c r="F536" s="1"/>
    </row>
    <row r="537" spans="5:6" x14ac:dyDescent="0.3">
      <c r="E537" s="1"/>
      <c r="F537" s="1"/>
    </row>
    <row r="538" spans="5:6" x14ac:dyDescent="0.3">
      <c r="E538" s="1"/>
      <c r="F538" s="1"/>
    </row>
    <row r="539" spans="5:6" x14ac:dyDescent="0.3">
      <c r="E539" s="1"/>
      <c r="F539" s="1"/>
    </row>
    <row r="540" spans="5:6" x14ac:dyDescent="0.3">
      <c r="E540" s="1"/>
      <c r="F540" s="1"/>
    </row>
    <row r="541" spans="5:6" x14ac:dyDescent="0.3">
      <c r="E541" s="1"/>
      <c r="F541" s="1"/>
    </row>
    <row r="542" spans="5:6" x14ac:dyDescent="0.3">
      <c r="E542" s="1"/>
      <c r="F542" s="1"/>
    </row>
    <row r="543" spans="5:6" x14ac:dyDescent="0.3">
      <c r="E543" s="1"/>
      <c r="F543" s="1"/>
    </row>
    <row r="544" spans="5:6" x14ac:dyDescent="0.3">
      <c r="E544" s="1"/>
      <c r="F544" s="1"/>
    </row>
    <row r="545" spans="5:6" x14ac:dyDescent="0.3">
      <c r="E545" s="1"/>
      <c r="F545" s="1"/>
    </row>
    <row r="546" spans="5:6" x14ac:dyDescent="0.3">
      <c r="E546" s="1"/>
      <c r="F546" s="1"/>
    </row>
    <row r="547" spans="5:6" x14ac:dyDescent="0.3">
      <c r="E547" s="1"/>
      <c r="F547" s="1"/>
    </row>
    <row r="548" spans="5:6" x14ac:dyDescent="0.3">
      <c r="E548" s="1"/>
      <c r="F548" s="1"/>
    </row>
    <row r="549" spans="5:6" x14ac:dyDescent="0.3">
      <c r="E549" s="1"/>
      <c r="F549" s="1"/>
    </row>
    <row r="550" spans="5:6" x14ac:dyDescent="0.3">
      <c r="E550" s="1"/>
      <c r="F550" s="1"/>
    </row>
    <row r="551" spans="5:6" x14ac:dyDescent="0.3">
      <c r="E551" s="1"/>
      <c r="F551" s="1"/>
    </row>
    <row r="552" spans="5:6" x14ac:dyDescent="0.3">
      <c r="E552" s="1"/>
      <c r="F552" s="1"/>
    </row>
  </sheetData>
  <mergeCells count="20">
    <mergeCell ref="B69:B70"/>
    <mergeCell ref="B71:C72"/>
    <mergeCell ref="E71:F71"/>
    <mergeCell ref="E72:F72"/>
    <mergeCell ref="A16:A72"/>
    <mergeCell ref="B16:C16"/>
    <mergeCell ref="B17:C17"/>
    <mergeCell ref="B19:C19"/>
    <mergeCell ref="B20:B27"/>
    <mergeCell ref="B28:B34"/>
    <mergeCell ref="B35:B47"/>
    <mergeCell ref="B48:B54"/>
    <mergeCell ref="B56:B62"/>
    <mergeCell ref="B63:B68"/>
    <mergeCell ref="B13:C13"/>
    <mergeCell ref="A1:B1"/>
    <mergeCell ref="A2:B2"/>
    <mergeCell ref="A3:B3"/>
    <mergeCell ref="A4:B4"/>
    <mergeCell ref="B6:E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0"/>
  <sheetViews>
    <sheetView tabSelected="1" topLeftCell="D15" zoomScale="85" zoomScaleNormal="70" workbookViewId="0">
      <pane ySplit="1" topLeftCell="A69" activePane="bottomLeft" state="frozen"/>
      <selection activeCell="C15" sqref="C15"/>
      <selection pane="bottomLeft" activeCell="Y83" sqref="Y83"/>
    </sheetView>
  </sheetViews>
  <sheetFormatPr defaultColWidth="9.109375" defaultRowHeight="16.899999999999999" x14ac:dyDescent="0.3"/>
  <cols>
    <col min="1" max="1" width="16" style="50" customWidth="1"/>
    <col min="2" max="2" width="20.33203125" style="50" customWidth="1"/>
    <col min="3" max="3" width="38.88671875" style="50" bestFit="1" customWidth="1"/>
    <col min="4" max="4" width="21.88671875" style="50" customWidth="1"/>
    <col min="5" max="5" width="18.109375" style="51" customWidth="1"/>
    <col min="6" max="6" width="6.6640625" style="50" customWidth="1"/>
    <col min="7" max="7" width="18.6640625" style="50" bestFit="1" customWidth="1"/>
    <col min="8" max="8" width="4.6640625" style="50" bestFit="1" customWidth="1"/>
    <col min="9" max="9" width="8.88671875" style="50" bestFit="1" customWidth="1"/>
    <col min="10" max="10" width="7.109375" style="50" bestFit="1" customWidth="1"/>
    <col min="11" max="11" width="7.33203125" style="50" customWidth="1"/>
    <col min="12" max="12" width="7.109375" style="50" bestFit="1" customWidth="1"/>
    <col min="13" max="13" width="8.88671875" style="50" bestFit="1" customWidth="1"/>
    <col min="14" max="14" width="6.5546875" style="50" customWidth="1"/>
    <col min="15" max="16" width="5.88671875" style="50" bestFit="1" customWidth="1"/>
    <col min="17" max="17" width="4.5546875" style="50" customWidth="1"/>
    <col min="18" max="18" width="4.5546875" style="50" bestFit="1" customWidth="1"/>
    <col min="19" max="19" width="4.5546875" style="50" customWidth="1"/>
    <col min="20" max="21" width="4.5546875" style="50" bestFit="1" customWidth="1"/>
    <col min="22" max="22" width="5.44140625" style="50" bestFit="1" customWidth="1"/>
    <col min="23" max="23" width="4.5546875" style="50" customWidth="1"/>
    <col min="24" max="16384" width="9.109375" style="50"/>
  </cols>
  <sheetData>
    <row r="1" spans="1:23" ht="68.25" thickBot="1" x14ac:dyDescent="0.35">
      <c r="A1" s="142" t="s">
        <v>3</v>
      </c>
      <c r="B1" s="142"/>
      <c r="C1" s="79" t="s">
        <v>36</v>
      </c>
      <c r="D1" s="78"/>
      <c r="E1" s="77" t="s">
        <v>34</v>
      </c>
    </row>
    <row r="2" spans="1:23" ht="17.55" thickBot="1" x14ac:dyDescent="0.35">
      <c r="A2" s="142" t="s">
        <v>2</v>
      </c>
      <c r="B2" s="142"/>
      <c r="C2" s="76" t="s">
        <v>25</v>
      </c>
      <c r="D2" s="75"/>
      <c r="E2" s="74" t="s">
        <v>33</v>
      </c>
    </row>
    <row r="3" spans="1:23" ht="17.55" thickBot="1" x14ac:dyDescent="0.35">
      <c r="A3" s="142" t="s">
        <v>1</v>
      </c>
      <c r="B3" s="142"/>
      <c r="C3" s="71" t="s">
        <v>116</v>
      </c>
      <c r="D3" s="73"/>
      <c r="E3" s="72" t="s">
        <v>32</v>
      </c>
    </row>
    <row r="4" spans="1:23" ht="17.25" customHeight="1" thickBot="1" x14ac:dyDescent="0.35">
      <c r="A4" s="142" t="s">
        <v>0</v>
      </c>
      <c r="B4" s="142"/>
      <c r="C4" s="71">
        <v>46331</v>
      </c>
    </row>
    <row r="5" spans="1:23" ht="16.45" customHeight="1" thickBot="1" x14ac:dyDescent="0.35"/>
    <row r="6" spans="1:23" ht="17.55" thickBot="1" x14ac:dyDescent="0.35">
      <c r="B6" s="139" t="s">
        <v>5</v>
      </c>
      <c r="C6" s="139"/>
      <c r="D6" s="139"/>
    </row>
    <row r="7" spans="1:23" ht="17.55" thickBot="1" x14ac:dyDescent="0.35">
      <c r="B7" s="70" t="s">
        <v>6</v>
      </c>
      <c r="C7" s="70" t="s">
        <v>29</v>
      </c>
      <c r="D7" s="70" t="s">
        <v>11</v>
      </c>
      <c r="E7" s="69" t="s">
        <v>28</v>
      </c>
    </row>
    <row r="8" spans="1:23" ht="17.55" thickBot="1" x14ac:dyDescent="0.35">
      <c r="B8" s="67">
        <v>1</v>
      </c>
      <c r="C8" s="68" t="s">
        <v>39</v>
      </c>
      <c r="D8" s="85" cm="1">
        <f t="array" ref="D8">SUMPRODUCT(
 ISNUMBER(SEARCH("All Team",D16:D68))*(E16:E68/5)
 +
 ISNUMBER(SEARCH("Dũng",D16:D68))*
 E16:E68/(LEN(D16:D68)-LEN(SUBSTITUTE(D16:D68,",",""))+1)
)</f>
        <v>35.1</v>
      </c>
      <c r="E8" s="65" cm="1">
        <f t="array" ref="E8">SUMPRODUCT(
 ISNUMBER(SEARCH("All Team",D16:D68))*(F16:F68/5)
 +
 ISNUMBER(SEARCH("Dũng",D16:D68))*
 F16:F68/(LEN(D16:D68)-LEN(SUBSTITUTE(D16:D68,",",""))+1)
)</f>
        <v>33.6</v>
      </c>
    </row>
    <row r="9" spans="1:23" ht="17.55" thickBot="1" x14ac:dyDescent="0.35">
      <c r="B9" s="67">
        <v>2</v>
      </c>
      <c r="C9" s="68" t="s">
        <v>40</v>
      </c>
      <c r="D9" s="65" cm="1">
        <f t="array" ref="D9">SUMPRODUCT(
 ISNUMBER(SEARCH("All Team",D16:D68))*(E16:E68/5)
 +
 ISNUMBER(SEARCH("Hằng",D16:D68))*
 E16:E68/(LEN(D16:D68)-LEN(SUBSTITUTE(D16:D68,",",""))+1)
)</f>
        <v>35.1</v>
      </c>
      <c r="E9" s="65" cm="1">
        <f t="array" ref="E9">SUMPRODUCT(
 ISNUMBER(SEARCH("All Team",D16:D68))*(F16:F68/5)
 +
 ISNUMBER(SEARCH("Hằng",D16:D68))*
 F16:F68/(LEN(D16:D68)-LEN(SUBSTITUTE(D16:D68,",",""))+1)
)</f>
        <v>34.6</v>
      </c>
    </row>
    <row r="10" spans="1:23" ht="17.55" thickBot="1" x14ac:dyDescent="0.35">
      <c r="B10" s="67">
        <v>3</v>
      </c>
      <c r="C10" s="68" t="s">
        <v>41</v>
      </c>
      <c r="D10" s="65" cm="1">
        <f t="array" ref="D10">SUMPRODUCT(
 ISNUMBER(SEARCH("All Team",D16:D68))*(E16:E68/5)
 +
 ISNUMBER(SEARCH("Hoàng",D16:D68))*
 E16:E68/(LEN(D16:D68)-LEN(SUBSTITUTE(D16:D68,",",""))+1)
)</f>
        <v>35.6</v>
      </c>
      <c r="E10" s="65" cm="1">
        <f t="array" ref="E10">SUMPRODUCT(
 ISNUMBER(SEARCH("All Team",D16:D68))*(F16:F68/5)
 +
 ISNUMBER(SEARCH("Hoàng",D16:D68))*
 F16:F68/(LEN(D16:D68)-LEN(SUBSTITUTE(D16:D68,",",""))+1)
)</f>
        <v>34.6</v>
      </c>
    </row>
    <row r="11" spans="1:23" ht="17.55" thickBot="1" x14ac:dyDescent="0.35">
      <c r="B11" s="67">
        <v>4</v>
      </c>
      <c r="C11" s="68" t="s">
        <v>42</v>
      </c>
      <c r="D11" s="65" cm="1">
        <f t="array" ref="D11">SUMPRODUCT(
 ISNUMBER(SEARCH("All Team",D16:D68))*(E16:E68/5)
 +
 ISNUMBER(SEARCH("Nguyên",D16:D68))*
 E16:E68/(LEN(D16:D68)-LEN(SUBSTITUTE(D16:D68,",",""))+1)
)</f>
        <v>35.1</v>
      </c>
      <c r="E11" s="65" cm="1">
        <f t="array" ref="E11">SUMPRODUCT(
 ISNUMBER(SEARCH("All Team",D16:D68))*(F16:F68/5)
 +
 ISNUMBER(SEARCH("Nguyên",D16:D68))*
 F16:F68/(LEN(D16:D68)-LEN(SUBSTITUTE(D16:D68,",",""))+1)
)</f>
        <v>33.6</v>
      </c>
    </row>
    <row r="12" spans="1:23" ht="17.55" thickBot="1" x14ac:dyDescent="0.35">
      <c r="B12" s="67">
        <v>5</v>
      </c>
      <c r="C12" s="66" t="s">
        <v>38</v>
      </c>
      <c r="D12" s="65" cm="1">
        <f t="array" ref="D12">SUMPRODUCT(
 ISNUMBER(SEARCH("All Team",D16:D68))*(E16:E68/5)
 +
 ISNUMBER(SEARCH("Nhi",D16:D68))*
 E16:E68/(LEN(D16:D68)-LEN(SUBSTITUTE(D16:D68,",",""))+1)
)</f>
        <v>35.6</v>
      </c>
      <c r="E12" s="65" cm="1">
        <f t="array" ref="E12">SUMPRODUCT(
 ISNUMBER(SEARCH("All Team",D16:D68))*(F16:F68/5)
 +
 ISNUMBER(SEARCH("Nhi",D16:D68))*
 F16:F68/(LEN(D16:D68)-LEN(SUBSTITUTE(D16:D68,",",""))+1)
)</f>
        <v>33.6</v>
      </c>
    </row>
    <row r="13" spans="1:23" ht="17.55" thickBot="1" x14ac:dyDescent="0.35">
      <c r="B13" s="139" t="s">
        <v>12</v>
      </c>
      <c r="C13" s="139"/>
      <c r="D13" s="117">
        <f>SUM(D8:D12)</f>
        <v>176.5</v>
      </c>
      <c r="E13" s="118">
        <f>SUM(E8:E12)</f>
        <v>170</v>
      </c>
    </row>
    <row r="15" spans="1:23" ht="62.3" customHeight="1" x14ac:dyDescent="0.3">
      <c r="A15" s="64" t="s">
        <v>7</v>
      </c>
      <c r="B15" s="64" t="s">
        <v>8</v>
      </c>
      <c r="C15" s="63" t="s">
        <v>9</v>
      </c>
      <c r="D15" s="63" t="s">
        <v>10</v>
      </c>
      <c r="E15" s="62" t="s">
        <v>11</v>
      </c>
      <c r="F15" s="61" t="s">
        <v>28</v>
      </c>
      <c r="G15" s="60">
        <v>46137</v>
      </c>
      <c r="H15" s="60">
        <v>46138</v>
      </c>
      <c r="I15" s="60">
        <v>46139</v>
      </c>
      <c r="J15" s="60">
        <v>46140</v>
      </c>
      <c r="K15" s="60">
        <v>46141</v>
      </c>
      <c r="L15" s="60">
        <v>46142</v>
      </c>
      <c r="M15" s="60">
        <v>46143</v>
      </c>
      <c r="N15" s="60">
        <v>46144</v>
      </c>
      <c r="O15" s="60">
        <v>46145</v>
      </c>
      <c r="P15" s="60">
        <v>46146</v>
      </c>
      <c r="Q15" s="60">
        <v>46147</v>
      </c>
      <c r="R15" s="60">
        <v>46148</v>
      </c>
      <c r="S15" s="60">
        <v>46149</v>
      </c>
      <c r="T15" s="60">
        <v>46150</v>
      </c>
      <c r="U15" s="60">
        <v>46151</v>
      </c>
      <c r="V15" s="60">
        <v>46152</v>
      </c>
      <c r="W15" s="60">
        <v>46153</v>
      </c>
    </row>
    <row r="16" spans="1:23" x14ac:dyDescent="0.3">
      <c r="A16" s="143" t="s">
        <v>25</v>
      </c>
      <c r="B16" s="140" t="s">
        <v>13</v>
      </c>
      <c r="C16" s="140"/>
      <c r="D16" s="55" t="s">
        <v>64</v>
      </c>
      <c r="E16" s="56">
        <f>IF(NOT(ISNUMBER(E17)),0,
   IF(NOT(ISNUMBER(F17)),
      F16 + IFERROR(INDEX(G17:W17, MATCH(0, G16:W16, 0)), 0),
      F16
   )
)</f>
        <v>8</v>
      </c>
      <c r="F16" s="36">
        <v>8</v>
      </c>
      <c r="G16" s="111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v>0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v>0</v>
      </c>
      <c r="U16" s="112">
        <v>0</v>
      </c>
      <c r="V16" s="112">
        <v>0</v>
      </c>
      <c r="W16" s="112">
        <v>0</v>
      </c>
    </row>
    <row r="17" spans="1:23" x14ac:dyDescent="0.3">
      <c r="A17" s="143"/>
      <c r="B17" s="140" t="s">
        <v>115</v>
      </c>
      <c r="C17" s="140"/>
      <c r="D17" s="108" t="s">
        <v>114</v>
      </c>
      <c r="E17" s="56">
        <f t="shared" ref="E17:E38" si="0">IF(NOT(ISNUMBER(E18)),0,
   IF(NOT(ISNUMBER(F18)),
      F17 + IFERROR(INDEX(G18:W18, MATCH(0, G17:W17, 0)), 0),
      F17
   )
)</f>
        <v>6</v>
      </c>
      <c r="F17" s="36">
        <v>6</v>
      </c>
      <c r="G17" s="36">
        <v>5</v>
      </c>
      <c r="H17" s="111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  <c r="U17" s="112">
        <v>0</v>
      </c>
      <c r="V17" s="112">
        <v>0</v>
      </c>
      <c r="W17" s="112">
        <v>0</v>
      </c>
    </row>
    <row r="18" spans="1:23" x14ac:dyDescent="0.3">
      <c r="A18" s="143"/>
      <c r="B18" s="140" t="s">
        <v>113</v>
      </c>
      <c r="C18" s="140"/>
      <c r="D18" s="109" t="s">
        <v>121</v>
      </c>
      <c r="E18" s="56">
        <f t="shared" si="0"/>
        <v>6</v>
      </c>
      <c r="F18" s="36">
        <v>6</v>
      </c>
      <c r="G18" s="36">
        <v>5</v>
      </c>
      <c r="H18" s="111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v>0</v>
      </c>
      <c r="S18" s="112">
        <v>0</v>
      </c>
      <c r="T18" s="112">
        <v>0</v>
      </c>
      <c r="U18" s="112">
        <v>0</v>
      </c>
      <c r="V18" s="112">
        <v>0</v>
      </c>
      <c r="W18" s="112">
        <v>0</v>
      </c>
    </row>
    <row r="19" spans="1:23" x14ac:dyDescent="0.3">
      <c r="A19" s="143"/>
      <c r="B19" s="143" t="s">
        <v>16</v>
      </c>
      <c r="C19" s="57" t="s">
        <v>44</v>
      </c>
      <c r="D19" s="56" t="s">
        <v>35</v>
      </c>
      <c r="E19" s="56">
        <f t="shared" si="0"/>
        <v>2</v>
      </c>
      <c r="F19" s="37">
        <v>2</v>
      </c>
      <c r="G19" s="37">
        <v>2</v>
      </c>
      <c r="H19" s="37">
        <v>2</v>
      </c>
      <c r="I19" s="37">
        <v>1</v>
      </c>
      <c r="J19" s="111">
        <v>0</v>
      </c>
      <c r="K19" s="112">
        <v>0</v>
      </c>
      <c r="L19" s="112">
        <v>0</v>
      </c>
      <c r="M19" s="112">
        <v>0</v>
      </c>
      <c r="N19" s="112">
        <v>0</v>
      </c>
      <c r="O19" s="112">
        <v>0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  <c r="U19" s="112">
        <v>0</v>
      </c>
      <c r="V19" s="112">
        <v>0</v>
      </c>
      <c r="W19" s="112">
        <v>0</v>
      </c>
    </row>
    <row r="20" spans="1:23" x14ac:dyDescent="0.3">
      <c r="A20" s="143"/>
      <c r="B20" s="143"/>
      <c r="C20" s="57" t="s">
        <v>117</v>
      </c>
      <c r="D20" s="56" t="s">
        <v>67</v>
      </c>
      <c r="E20" s="56">
        <f t="shared" si="0"/>
        <v>1.5</v>
      </c>
      <c r="F20" s="37">
        <v>2</v>
      </c>
      <c r="G20" s="37">
        <v>2</v>
      </c>
      <c r="H20" s="37">
        <v>2</v>
      </c>
      <c r="I20" s="37">
        <v>1</v>
      </c>
      <c r="J20" s="111">
        <v>0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</row>
    <row r="21" spans="1:23" x14ac:dyDescent="0.3">
      <c r="A21" s="143"/>
      <c r="B21" s="143"/>
      <c r="C21" s="110"/>
      <c r="D21" s="56"/>
      <c r="E21" s="56">
        <f t="shared" si="0"/>
        <v>0</v>
      </c>
      <c r="F21" s="37"/>
      <c r="G21" s="37"/>
      <c r="H21" s="37"/>
      <c r="I21" s="37"/>
      <c r="J21" s="113">
        <v>-0.5</v>
      </c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</row>
    <row r="22" spans="1:23" x14ac:dyDescent="0.3">
      <c r="A22" s="143"/>
      <c r="B22" s="143"/>
      <c r="C22" s="57" t="s">
        <v>100</v>
      </c>
      <c r="D22" s="56" t="s">
        <v>68</v>
      </c>
      <c r="E22" s="56">
        <f t="shared" si="0"/>
        <v>2</v>
      </c>
      <c r="F22" s="37">
        <v>2</v>
      </c>
      <c r="G22" s="37">
        <v>2</v>
      </c>
      <c r="H22" s="37">
        <v>2</v>
      </c>
      <c r="I22" s="37">
        <v>1</v>
      </c>
      <c r="J22" s="111">
        <v>0</v>
      </c>
      <c r="K22" s="112">
        <v>0</v>
      </c>
      <c r="L22" s="112">
        <v>0</v>
      </c>
      <c r="M22" s="112">
        <v>0</v>
      </c>
      <c r="N22" s="112">
        <v>0</v>
      </c>
      <c r="O22" s="112">
        <v>0</v>
      </c>
      <c r="P22" s="112">
        <v>0</v>
      </c>
      <c r="Q22" s="112">
        <v>0</v>
      </c>
      <c r="R22" s="112">
        <v>0</v>
      </c>
      <c r="S22" s="112">
        <v>0</v>
      </c>
      <c r="T22" s="112">
        <v>0</v>
      </c>
      <c r="U22" s="112">
        <v>0</v>
      </c>
      <c r="V22" s="112">
        <v>0</v>
      </c>
      <c r="W22" s="112">
        <v>0</v>
      </c>
    </row>
    <row r="23" spans="1:23" x14ac:dyDescent="0.3">
      <c r="A23" s="143"/>
      <c r="B23" s="143"/>
      <c r="C23" s="57" t="s">
        <v>99</v>
      </c>
      <c r="D23" s="56" t="s">
        <v>65</v>
      </c>
      <c r="E23" s="56">
        <f t="shared" si="0"/>
        <v>3</v>
      </c>
      <c r="F23" s="37">
        <v>2</v>
      </c>
      <c r="G23" s="37">
        <v>2</v>
      </c>
      <c r="H23" s="37">
        <v>2</v>
      </c>
      <c r="I23" s="37">
        <v>1</v>
      </c>
      <c r="J23" s="111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2">
        <v>0</v>
      </c>
      <c r="S23" s="112">
        <v>0</v>
      </c>
      <c r="T23" s="112">
        <v>0</v>
      </c>
      <c r="U23" s="112">
        <v>0</v>
      </c>
      <c r="V23" s="112">
        <v>0</v>
      </c>
      <c r="W23" s="112">
        <v>0</v>
      </c>
    </row>
    <row r="24" spans="1:23" x14ac:dyDescent="0.3">
      <c r="A24" s="143"/>
      <c r="B24" s="143"/>
      <c r="C24" s="57"/>
      <c r="D24" s="56"/>
      <c r="E24" s="56">
        <f t="shared" si="0"/>
        <v>0</v>
      </c>
      <c r="F24" s="37"/>
      <c r="G24" s="37"/>
      <c r="H24" s="37"/>
      <c r="I24" s="37"/>
      <c r="J24" s="115">
        <v>1</v>
      </c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</row>
    <row r="25" spans="1:23" x14ac:dyDescent="0.3">
      <c r="A25" s="143"/>
      <c r="B25" s="143"/>
      <c r="C25" s="57" t="s">
        <v>110</v>
      </c>
      <c r="D25" s="56" t="s">
        <v>66</v>
      </c>
      <c r="E25" s="56">
        <f t="shared" si="0"/>
        <v>2</v>
      </c>
      <c r="F25" s="37">
        <v>2</v>
      </c>
      <c r="G25" s="37">
        <v>2</v>
      </c>
      <c r="H25" s="37">
        <v>2</v>
      </c>
      <c r="I25" s="37">
        <v>1</v>
      </c>
      <c r="J25" s="111">
        <v>0</v>
      </c>
      <c r="K25" s="112">
        <v>0</v>
      </c>
      <c r="L25" s="112">
        <v>0</v>
      </c>
      <c r="M25" s="112">
        <v>0</v>
      </c>
      <c r="N25" s="112">
        <v>0</v>
      </c>
      <c r="O25" s="112">
        <v>0</v>
      </c>
      <c r="P25" s="112">
        <v>0</v>
      </c>
      <c r="Q25" s="112">
        <v>0</v>
      </c>
      <c r="R25" s="112">
        <v>0</v>
      </c>
      <c r="S25" s="112">
        <v>0</v>
      </c>
      <c r="T25" s="112">
        <v>0</v>
      </c>
      <c r="U25" s="112">
        <v>0</v>
      </c>
      <c r="V25" s="112">
        <v>0</v>
      </c>
      <c r="W25" s="112">
        <v>0</v>
      </c>
    </row>
    <row r="26" spans="1:23" x14ac:dyDescent="0.3">
      <c r="A26" s="143"/>
      <c r="B26" s="143"/>
      <c r="C26" s="58" t="s">
        <v>112</v>
      </c>
      <c r="D26" s="55" t="s">
        <v>64</v>
      </c>
      <c r="E26" s="56">
        <f t="shared" si="0"/>
        <v>10</v>
      </c>
      <c r="F26" s="36">
        <v>10</v>
      </c>
      <c r="G26" s="36">
        <v>10</v>
      </c>
      <c r="H26" s="36">
        <v>10</v>
      </c>
      <c r="I26" s="36">
        <v>5</v>
      </c>
      <c r="J26" s="111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  <c r="U26" s="112">
        <v>0</v>
      </c>
      <c r="V26" s="112">
        <v>0</v>
      </c>
      <c r="W26" s="112">
        <v>0</v>
      </c>
    </row>
    <row r="27" spans="1:23" x14ac:dyDescent="0.3">
      <c r="A27" s="143"/>
      <c r="B27" s="143" t="s">
        <v>111</v>
      </c>
      <c r="C27" s="57" t="s">
        <v>44</v>
      </c>
      <c r="D27" s="56" t="s">
        <v>67</v>
      </c>
      <c r="E27" s="56">
        <f t="shared" si="0"/>
        <v>2</v>
      </c>
      <c r="F27" s="37">
        <v>2</v>
      </c>
      <c r="G27" s="37">
        <v>2</v>
      </c>
      <c r="H27" s="37">
        <v>2</v>
      </c>
      <c r="I27" s="37">
        <v>2</v>
      </c>
      <c r="J27" s="37">
        <v>2</v>
      </c>
      <c r="K27" s="37">
        <v>1</v>
      </c>
      <c r="L27" s="111">
        <v>0</v>
      </c>
      <c r="M27" s="112">
        <v>0</v>
      </c>
      <c r="N27" s="112">
        <v>0</v>
      </c>
      <c r="O27" s="112">
        <v>0</v>
      </c>
      <c r="P27" s="112">
        <v>0</v>
      </c>
      <c r="Q27" s="112">
        <v>0</v>
      </c>
      <c r="R27" s="112">
        <v>0</v>
      </c>
      <c r="S27" s="112">
        <v>0</v>
      </c>
      <c r="T27" s="112">
        <v>0</v>
      </c>
      <c r="U27" s="112">
        <v>0</v>
      </c>
      <c r="V27" s="112">
        <v>0</v>
      </c>
      <c r="W27" s="112">
        <v>0</v>
      </c>
    </row>
    <row r="28" spans="1:23" x14ac:dyDescent="0.3">
      <c r="A28" s="143"/>
      <c r="B28" s="143"/>
      <c r="C28" s="57" t="s">
        <v>117</v>
      </c>
      <c r="D28" s="56" t="s">
        <v>65</v>
      </c>
      <c r="E28" s="56">
        <f t="shared" si="0"/>
        <v>2.5</v>
      </c>
      <c r="F28" s="37">
        <v>2</v>
      </c>
      <c r="G28" s="37">
        <v>2</v>
      </c>
      <c r="H28" s="37">
        <v>2</v>
      </c>
      <c r="I28" s="37">
        <v>2</v>
      </c>
      <c r="J28" s="37">
        <v>2</v>
      </c>
      <c r="K28" s="37">
        <v>1</v>
      </c>
      <c r="L28" s="111">
        <v>0</v>
      </c>
      <c r="M28" s="112">
        <v>0</v>
      </c>
      <c r="N28" s="112">
        <v>0</v>
      </c>
      <c r="O28" s="112">
        <v>0</v>
      </c>
      <c r="P28" s="112">
        <v>0</v>
      </c>
      <c r="Q28" s="112">
        <v>0</v>
      </c>
      <c r="R28" s="112">
        <v>0</v>
      </c>
      <c r="S28" s="112">
        <v>0</v>
      </c>
      <c r="T28" s="112">
        <v>0</v>
      </c>
      <c r="U28" s="112">
        <v>0</v>
      </c>
      <c r="V28" s="112">
        <v>0</v>
      </c>
      <c r="W28" s="112">
        <v>0</v>
      </c>
    </row>
    <row r="29" spans="1:23" x14ac:dyDescent="0.3">
      <c r="A29" s="143"/>
      <c r="B29" s="143"/>
      <c r="C29" s="57"/>
      <c r="D29" s="56"/>
      <c r="E29" s="56">
        <f t="shared" si="0"/>
        <v>0</v>
      </c>
      <c r="F29" s="37"/>
      <c r="G29" s="37"/>
      <c r="H29" s="37"/>
      <c r="I29" s="37"/>
      <c r="J29" s="37"/>
      <c r="K29" s="37"/>
      <c r="L29" s="114">
        <v>0.5</v>
      </c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</row>
    <row r="30" spans="1:23" x14ac:dyDescent="0.3">
      <c r="A30" s="143"/>
      <c r="B30" s="143"/>
      <c r="C30" s="57" t="s">
        <v>100</v>
      </c>
      <c r="D30" s="56" t="s">
        <v>66</v>
      </c>
      <c r="E30" s="56">
        <f t="shared" si="0"/>
        <v>2</v>
      </c>
      <c r="F30" s="37">
        <v>2</v>
      </c>
      <c r="G30" s="37">
        <v>2</v>
      </c>
      <c r="H30" s="37">
        <v>2</v>
      </c>
      <c r="I30" s="37">
        <v>2</v>
      </c>
      <c r="J30" s="37">
        <v>2</v>
      </c>
      <c r="K30" s="37">
        <v>1</v>
      </c>
      <c r="L30" s="111">
        <v>0</v>
      </c>
      <c r="M30" s="112">
        <v>0</v>
      </c>
      <c r="N30" s="112">
        <v>0</v>
      </c>
      <c r="O30" s="112">
        <v>0</v>
      </c>
      <c r="P30" s="112">
        <v>0</v>
      </c>
      <c r="Q30" s="112">
        <v>0</v>
      </c>
      <c r="R30" s="112">
        <v>0</v>
      </c>
      <c r="S30" s="112">
        <v>0</v>
      </c>
      <c r="T30" s="112">
        <v>0</v>
      </c>
      <c r="U30" s="112">
        <v>0</v>
      </c>
      <c r="V30" s="112">
        <v>0</v>
      </c>
      <c r="W30" s="112">
        <v>0</v>
      </c>
    </row>
    <row r="31" spans="1:23" x14ac:dyDescent="0.3">
      <c r="A31" s="143"/>
      <c r="B31" s="143"/>
      <c r="C31" s="57" t="s">
        <v>99</v>
      </c>
      <c r="D31" s="56" t="s">
        <v>35</v>
      </c>
      <c r="E31" s="56">
        <f t="shared" si="0"/>
        <v>2</v>
      </c>
      <c r="F31" s="36">
        <v>2</v>
      </c>
      <c r="G31" s="36">
        <v>2</v>
      </c>
      <c r="H31" s="36">
        <v>2</v>
      </c>
      <c r="I31" s="36">
        <v>2</v>
      </c>
      <c r="J31" s="36">
        <v>2</v>
      </c>
      <c r="K31" s="37">
        <v>1</v>
      </c>
      <c r="L31" s="111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0</v>
      </c>
      <c r="T31" s="112">
        <v>0</v>
      </c>
      <c r="U31" s="112">
        <v>0</v>
      </c>
      <c r="V31" s="112">
        <v>0</v>
      </c>
      <c r="W31" s="112">
        <v>0</v>
      </c>
    </row>
    <row r="32" spans="1:23" x14ac:dyDescent="0.3">
      <c r="A32" s="143"/>
      <c r="B32" s="143"/>
      <c r="C32" s="57" t="s">
        <v>110</v>
      </c>
      <c r="D32" s="56" t="s">
        <v>68</v>
      </c>
      <c r="E32" s="56">
        <f t="shared" si="0"/>
        <v>2</v>
      </c>
      <c r="F32" s="36">
        <v>2</v>
      </c>
      <c r="G32" s="36">
        <v>2</v>
      </c>
      <c r="H32" s="36">
        <v>2</v>
      </c>
      <c r="I32" s="36">
        <v>2</v>
      </c>
      <c r="J32" s="36">
        <v>2</v>
      </c>
      <c r="K32" s="37">
        <v>1</v>
      </c>
      <c r="L32" s="111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0</v>
      </c>
      <c r="T32" s="112">
        <v>0</v>
      </c>
      <c r="U32" s="112">
        <v>0</v>
      </c>
      <c r="V32" s="112">
        <v>0</v>
      </c>
      <c r="W32" s="112">
        <v>0</v>
      </c>
    </row>
    <row r="33" spans="1:23" x14ac:dyDescent="0.3">
      <c r="A33" s="143"/>
      <c r="B33" s="143"/>
      <c r="C33" s="58" t="s">
        <v>109</v>
      </c>
      <c r="D33" s="55" t="s">
        <v>64</v>
      </c>
      <c r="E33" s="56">
        <f t="shared" si="0"/>
        <v>10</v>
      </c>
      <c r="F33" s="36">
        <v>10</v>
      </c>
      <c r="G33" s="36">
        <v>10</v>
      </c>
      <c r="H33" s="36">
        <v>10</v>
      </c>
      <c r="I33" s="36">
        <v>10</v>
      </c>
      <c r="J33" s="36">
        <v>10</v>
      </c>
      <c r="K33" s="36">
        <v>5</v>
      </c>
      <c r="L33" s="111">
        <v>0</v>
      </c>
      <c r="M33" s="112">
        <v>0</v>
      </c>
      <c r="N33" s="112">
        <v>0</v>
      </c>
      <c r="O33" s="112">
        <v>0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</row>
    <row r="34" spans="1:23" x14ac:dyDescent="0.3">
      <c r="A34" s="143"/>
      <c r="B34" s="143" t="s">
        <v>18</v>
      </c>
      <c r="C34" s="59" t="s">
        <v>52</v>
      </c>
      <c r="D34" s="56" t="s">
        <v>35</v>
      </c>
      <c r="E34" s="56">
        <f t="shared" si="0"/>
        <v>6</v>
      </c>
      <c r="F34" s="37">
        <v>5</v>
      </c>
      <c r="G34" s="37">
        <v>5</v>
      </c>
      <c r="H34" s="37">
        <v>5</v>
      </c>
      <c r="I34" s="37">
        <v>5</v>
      </c>
      <c r="J34" s="37">
        <v>5</v>
      </c>
      <c r="K34" s="37">
        <v>5</v>
      </c>
      <c r="L34" s="37">
        <v>5</v>
      </c>
      <c r="M34" s="37">
        <v>3</v>
      </c>
      <c r="N34" s="37">
        <v>2</v>
      </c>
      <c r="O34" s="111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</row>
    <row r="35" spans="1:23" x14ac:dyDescent="0.3">
      <c r="A35" s="143"/>
      <c r="B35" s="143"/>
      <c r="C35" s="59"/>
      <c r="D35" s="56"/>
      <c r="E35" s="56">
        <f t="shared" si="0"/>
        <v>0</v>
      </c>
      <c r="F35" s="37"/>
      <c r="G35" s="37"/>
      <c r="H35" s="37"/>
      <c r="I35" s="37"/>
      <c r="J35" s="37"/>
      <c r="K35" s="37"/>
      <c r="L35" s="37"/>
      <c r="M35" s="37"/>
      <c r="N35" s="37"/>
      <c r="O35" s="116">
        <v>1</v>
      </c>
      <c r="P35" s="112"/>
      <c r="Q35" s="112"/>
      <c r="R35" s="112"/>
      <c r="S35" s="112"/>
      <c r="T35" s="112"/>
      <c r="U35" s="112"/>
      <c r="V35" s="112"/>
      <c r="W35" s="112"/>
    </row>
    <row r="36" spans="1:23" x14ac:dyDescent="0.3">
      <c r="A36" s="143"/>
      <c r="B36" s="143"/>
      <c r="C36" s="59" t="s">
        <v>118</v>
      </c>
      <c r="D36" s="56" t="s">
        <v>67</v>
      </c>
      <c r="E36" s="56">
        <f t="shared" si="0"/>
        <v>6</v>
      </c>
      <c r="F36" s="37">
        <v>5</v>
      </c>
      <c r="G36" s="37">
        <v>5</v>
      </c>
      <c r="H36" s="37">
        <v>5</v>
      </c>
      <c r="I36" s="37">
        <v>5</v>
      </c>
      <c r="J36" s="37">
        <v>5</v>
      </c>
      <c r="K36" s="37">
        <v>5</v>
      </c>
      <c r="L36" s="37">
        <v>5</v>
      </c>
      <c r="M36" s="37">
        <v>3</v>
      </c>
      <c r="N36" s="37">
        <v>1</v>
      </c>
      <c r="O36" s="111">
        <v>0</v>
      </c>
      <c r="P36" s="112">
        <v>0</v>
      </c>
      <c r="Q36" s="112">
        <v>0</v>
      </c>
      <c r="R36" s="112">
        <v>0</v>
      </c>
      <c r="S36" s="112">
        <v>0</v>
      </c>
      <c r="T36" s="112">
        <v>0</v>
      </c>
      <c r="U36" s="112">
        <v>0</v>
      </c>
      <c r="V36" s="112">
        <v>0</v>
      </c>
      <c r="W36" s="112">
        <v>0</v>
      </c>
    </row>
    <row r="37" spans="1:23" x14ac:dyDescent="0.3">
      <c r="A37" s="143"/>
      <c r="B37" s="143"/>
      <c r="C37" s="59"/>
      <c r="D37" s="56"/>
      <c r="E37" s="56">
        <f t="shared" si="0"/>
        <v>0</v>
      </c>
      <c r="F37" s="37"/>
      <c r="G37" s="37"/>
      <c r="H37" s="37"/>
      <c r="I37" s="37"/>
      <c r="J37" s="37"/>
      <c r="K37" s="37"/>
      <c r="L37" s="37"/>
      <c r="M37" s="37"/>
      <c r="N37" s="37"/>
      <c r="O37" s="115">
        <v>1</v>
      </c>
      <c r="P37" s="112"/>
      <c r="Q37" s="112"/>
      <c r="R37" s="112"/>
      <c r="S37" s="112"/>
      <c r="T37" s="112"/>
      <c r="U37" s="112"/>
      <c r="V37" s="112"/>
      <c r="W37" s="112"/>
    </row>
    <row r="38" spans="1:23" x14ac:dyDescent="0.3">
      <c r="A38" s="143"/>
      <c r="B38" s="143"/>
      <c r="C38" s="59" t="s">
        <v>108</v>
      </c>
      <c r="D38" s="56" t="s">
        <v>65</v>
      </c>
      <c r="E38" s="56">
        <f t="shared" si="0"/>
        <v>5</v>
      </c>
      <c r="F38" s="37">
        <v>5</v>
      </c>
      <c r="G38" s="37">
        <v>5</v>
      </c>
      <c r="H38" s="37">
        <v>5</v>
      </c>
      <c r="I38" s="37">
        <v>5</v>
      </c>
      <c r="J38" s="37">
        <v>5</v>
      </c>
      <c r="K38" s="37">
        <v>5</v>
      </c>
      <c r="L38" s="37">
        <v>5</v>
      </c>
      <c r="M38" s="37">
        <v>3</v>
      </c>
      <c r="N38" s="37">
        <v>1</v>
      </c>
      <c r="O38" s="111">
        <v>0</v>
      </c>
      <c r="P38" s="112">
        <v>0</v>
      </c>
      <c r="Q38" s="112">
        <v>0</v>
      </c>
      <c r="R38" s="112">
        <v>0</v>
      </c>
      <c r="S38" s="112">
        <v>0</v>
      </c>
      <c r="T38" s="112">
        <v>0</v>
      </c>
      <c r="U38" s="112">
        <v>0</v>
      </c>
      <c r="V38" s="112">
        <v>0</v>
      </c>
      <c r="W38" s="112">
        <v>0</v>
      </c>
    </row>
    <row r="39" spans="1:23" x14ac:dyDescent="0.3">
      <c r="A39" s="143"/>
      <c r="B39" s="143"/>
      <c r="C39" s="57" t="s">
        <v>107</v>
      </c>
      <c r="D39" s="56" t="s">
        <v>66</v>
      </c>
      <c r="E39" s="56">
        <f t="shared" ref="E39:E66" si="1">IF(NOT(ISNUMBER(E40)),0,
   IF(NOT(ISNUMBER(F40)),
      F39 + IFERROR(INDEX(G40:W40, MATCH(0, G39:W39, 0)), 0),
      F39
   )
)</f>
        <v>5.5</v>
      </c>
      <c r="F39" s="37">
        <v>5</v>
      </c>
      <c r="G39" s="37">
        <v>5</v>
      </c>
      <c r="H39" s="37">
        <v>5</v>
      </c>
      <c r="I39" s="37">
        <v>5</v>
      </c>
      <c r="J39" s="37">
        <v>5</v>
      </c>
      <c r="K39" s="37">
        <v>5</v>
      </c>
      <c r="L39" s="37">
        <v>5</v>
      </c>
      <c r="M39" s="37">
        <v>3</v>
      </c>
      <c r="N39" s="37">
        <v>1</v>
      </c>
      <c r="O39" s="111">
        <v>0</v>
      </c>
      <c r="P39" s="112">
        <v>0</v>
      </c>
      <c r="Q39" s="112">
        <v>0</v>
      </c>
      <c r="R39" s="112">
        <v>0</v>
      </c>
      <c r="S39" s="112">
        <v>0</v>
      </c>
      <c r="T39" s="112">
        <v>0</v>
      </c>
      <c r="U39" s="112">
        <v>0</v>
      </c>
      <c r="V39" s="112">
        <v>0</v>
      </c>
      <c r="W39" s="112">
        <v>0</v>
      </c>
    </row>
    <row r="40" spans="1:23" x14ac:dyDescent="0.3">
      <c r="A40" s="143"/>
      <c r="B40" s="143"/>
      <c r="C40" s="57"/>
      <c r="D40" s="56"/>
      <c r="E40" s="56">
        <f t="shared" si="1"/>
        <v>0</v>
      </c>
      <c r="F40" s="37"/>
      <c r="G40" s="37"/>
      <c r="H40" s="37"/>
      <c r="I40" s="37"/>
      <c r="J40" s="37"/>
      <c r="K40" s="37"/>
      <c r="L40" s="37"/>
      <c r="M40" s="37"/>
      <c r="N40" s="37"/>
      <c r="O40" s="114">
        <v>0.5</v>
      </c>
      <c r="P40" s="112"/>
      <c r="Q40" s="112"/>
      <c r="R40" s="112"/>
      <c r="S40" s="112"/>
      <c r="T40" s="112"/>
      <c r="U40" s="112"/>
      <c r="V40" s="112"/>
      <c r="W40" s="112"/>
    </row>
    <row r="41" spans="1:23" x14ac:dyDescent="0.3">
      <c r="A41" s="143"/>
      <c r="B41" s="143"/>
      <c r="C41" s="59" t="s">
        <v>58</v>
      </c>
      <c r="D41" s="56" t="s">
        <v>35</v>
      </c>
      <c r="E41" s="56">
        <f t="shared" si="1"/>
        <v>5</v>
      </c>
      <c r="F41" s="37">
        <v>5</v>
      </c>
      <c r="G41" s="37">
        <v>5</v>
      </c>
      <c r="H41" s="37">
        <v>5</v>
      </c>
      <c r="I41" s="37">
        <v>5</v>
      </c>
      <c r="J41" s="37">
        <v>5</v>
      </c>
      <c r="K41" s="37">
        <v>5</v>
      </c>
      <c r="L41" s="37">
        <v>5</v>
      </c>
      <c r="M41" s="37">
        <v>3</v>
      </c>
      <c r="N41" s="37">
        <v>1</v>
      </c>
      <c r="O41" s="111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</row>
    <row r="42" spans="1:23" x14ac:dyDescent="0.3">
      <c r="A42" s="143"/>
      <c r="B42" s="143"/>
      <c r="C42" s="59" t="s">
        <v>119</v>
      </c>
      <c r="D42" s="56" t="s">
        <v>67</v>
      </c>
      <c r="E42" s="56">
        <f t="shared" si="1"/>
        <v>5</v>
      </c>
      <c r="F42" s="37">
        <v>5</v>
      </c>
      <c r="G42" s="37">
        <v>5</v>
      </c>
      <c r="H42" s="37">
        <v>5</v>
      </c>
      <c r="I42" s="37">
        <v>5</v>
      </c>
      <c r="J42" s="37">
        <v>5</v>
      </c>
      <c r="K42" s="37">
        <v>5</v>
      </c>
      <c r="L42" s="37">
        <v>5</v>
      </c>
      <c r="M42" s="37">
        <v>5</v>
      </c>
      <c r="N42" s="37">
        <v>5</v>
      </c>
      <c r="O42" s="37">
        <v>4.5</v>
      </c>
      <c r="P42" s="37">
        <v>3.5</v>
      </c>
      <c r="Q42" s="37">
        <v>1.5</v>
      </c>
      <c r="R42" s="111">
        <v>0</v>
      </c>
      <c r="S42" s="112">
        <v>0</v>
      </c>
      <c r="T42" s="112">
        <v>0</v>
      </c>
      <c r="U42" s="112">
        <v>0</v>
      </c>
      <c r="V42" s="112">
        <v>0</v>
      </c>
      <c r="W42" s="112">
        <v>0</v>
      </c>
    </row>
    <row r="43" spans="1:23" x14ac:dyDescent="0.3">
      <c r="A43" s="143"/>
      <c r="B43" s="143"/>
      <c r="C43" s="57" t="s">
        <v>106</v>
      </c>
      <c r="D43" s="56" t="s">
        <v>68</v>
      </c>
      <c r="E43" s="56">
        <f t="shared" si="1"/>
        <v>5</v>
      </c>
      <c r="F43" s="37">
        <v>5</v>
      </c>
      <c r="G43" s="37">
        <v>5</v>
      </c>
      <c r="H43" s="37">
        <v>5</v>
      </c>
      <c r="I43" s="37">
        <v>5</v>
      </c>
      <c r="J43" s="37">
        <v>5</v>
      </c>
      <c r="K43" s="37">
        <v>5</v>
      </c>
      <c r="L43" s="37">
        <v>5</v>
      </c>
      <c r="M43" s="37">
        <v>5</v>
      </c>
      <c r="N43" s="37">
        <v>5</v>
      </c>
      <c r="O43" s="37">
        <v>4.5</v>
      </c>
      <c r="P43" s="37">
        <v>3</v>
      </c>
      <c r="Q43" s="37">
        <v>1.5</v>
      </c>
      <c r="R43" s="111">
        <v>0</v>
      </c>
      <c r="S43" s="112">
        <v>0</v>
      </c>
      <c r="T43" s="112">
        <v>0</v>
      </c>
      <c r="U43" s="112">
        <v>0</v>
      </c>
      <c r="V43" s="112">
        <v>0</v>
      </c>
      <c r="W43" s="112">
        <v>0</v>
      </c>
    </row>
    <row r="44" spans="1:23" x14ac:dyDescent="0.3">
      <c r="A44" s="143"/>
      <c r="B44" s="143"/>
      <c r="C44" s="59" t="s">
        <v>105</v>
      </c>
      <c r="D44" s="56" t="s">
        <v>68</v>
      </c>
      <c r="E44" s="56">
        <f t="shared" si="1"/>
        <v>5</v>
      </c>
      <c r="F44" s="37">
        <v>5</v>
      </c>
      <c r="G44" s="37">
        <v>5</v>
      </c>
      <c r="H44" s="37">
        <v>5</v>
      </c>
      <c r="I44" s="37">
        <v>5</v>
      </c>
      <c r="J44" s="37">
        <v>5</v>
      </c>
      <c r="K44" s="37">
        <v>5</v>
      </c>
      <c r="L44" s="37">
        <v>5</v>
      </c>
      <c r="M44" s="37">
        <v>5</v>
      </c>
      <c r="N44" s="37">
        <v>5</v>
      </c>
      <c r="O44" s="37">
        <v>4.5</v>
      </c>
      <c r="P44" s="37">
        <v>3</v>
      </c>
      <c r="Q44" s="37">
        <v>1.5</v>
      </c>
      <c r="R44" s="111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</row>
    <row r="45" spans="1:23" ht="33.85" x14ac:dyDescent="0.3">
      <c r="A45" s="143"/>
      <c r="B45" s="143"/>
      <c r="C45" s="59" t="s">
        <v>104</v>
      </c>
      <c r="D45" s="56" t="s">
        <v>65</v>
      </c>
      <c r="E45" s="56">
        <f t="shared" si="1"/>
        <v>5</v>
      </c>
      <c r="F45" s="37">
        <v>5</v>
      </c>
      <c r="G45" s="37">
        <v>5</v>
      </c>
      <c r="H45" s="37">
        <v>5</v>
      </c>
      <c r="I45" s="37">
        <v>5</v>
      </c>
      <c r="J45" s="37">
        <v>5</v>
      </c>
      <c r="K45" s="37">
        <v>5</v>
      </c>
      <c r="L45" s="37">
        <v>5</v>
      </c>
      <c r="M45" s="37">
        <v>5</v>
      </c>
      <c r="N45" s="37">
        <v>5</v>
      </c>
      <c r="O45" s="37">
        <v>4.5</v>
      </c>
      <c r="P45" s="37">
        <v>3</v>
      </c>
      <c r="Q45" s="37">
        <v>1.5</v>
      </c>
      <c r="R45" s="111">
        <v>0</v>
      </c>
      <c r="S45" s="112">
        <v>0</v>
      </c>
      <c r="T45" s="112">
        <v>0</v>
      </c>
      <c r="U45" s="112">
        <v>0</v>
      </c>
      <c r="V45" s="112">
        <v>0</v>
      </c>
      <c r="W45" s="112">
        <v>0</v>
      </c>
    </row>
    <row r="46" spans="1:23" x14ac:dyDescent="0.3">
      <c r="A46" s="143"/>
      <c r="B46" s="143"/>
      <c r="C46" s="59" t="s">
        <v>103</v>
      </c>
      <c r="D46" s="56" t="s">
        <v>66</v>
      </c>
      <c r="E46" s="56">
        <f t="shared" si="1"/>
        <v>6</v>
      </c>
      <c r="F46" s="37">
        <v>5</v>
      </c>
      <c r="G46" s="37">
        <v>5</v>
      </c>
      <c r="H46" s="37">
        <v>5</v>
      </c>
      <c r="I46" s="37">
        <v>5</v>
      </c>
      <c r="J46" s="37">
        <v>5</v>
      </c>
      <c r="K46" s="37">
        <v>5</v>
      </c>
      <c r="L46" s="37">
        <v>5</v>
      </c>
      <c r="M46" s="37">
        <v>5</v>
      </c>
      <c r="N46" s="37">
        <v>5</v>
      </c>
      <c r="O46" s="37">
        <v>4.5</v>
      </c>
      <c r="P46" s="37">
        <v>3</v>
      </c>
      <c r="Q46" s="37">
        <v>2</v>
      </c>
      <c r="R46" s="111">
        <v>0</v>
      </c>
      <c r="S46" s="112">
        <v>0</v>
      </c>
      <c r="T46" s="112">
        <v>0</v>
      </c>
      <c r="U46" s="112">
        <v>0</v>
      </c>
      <c r="V46" s="112">
        <v>0</v>
      </c>
      <c r="W46" s="112">
        <v>0</v>
      </c>
    </row>
    <row r="47" spans="1:23" x14ac:dyDescent="0.3">
      <c r="A47" s="143"/>
      <c r="B47" s="143"/>
      <c r="C47" s="59"/>
      <c r="D47" s="56"/>
      <c r="E47" s="56">
        <f t="shared" si="1"/>
        <v>0</v>
      </c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115">
        <v>1</v>
      </c>
      <c r="S47" s="112"/>
      <c r="T47" s="112"/>
      <c r="U47" s="112"/>
      <c r="V47" s="112"/>
      <c r="W47" s="112"/>
    </row>
    <row r="48" spans="1:23" x14ac:dyDescent="0.3">
      <c r="A48" s="143"/>
      <c r="B48" s="143"/>
      <c r="C48" s="58" t="s">
        <v>63</v>
      </c>
      <c r="D48" s="55" t="s">
        <v>64</v>
      </c>
      <c r="E48" s="56">
        <f t="shared" si="1"/>
        <v>10</v>
      </c>
      <c r="F48" s="36">
        <v>10</v>
      </c>
      <c r="G48" s="36">
        <v>10</v>
      </c>
      <c r="H48" s="36">
        <v>10</v>
      </c>
      <c r="I48" s="36">
        <v>10</v>
      </c>
      <c r="J48" s="36">
        <v>10</v>
      </c>
      <c r="K48" s="36">
        <v>10</v>
      </c>
      <c r="L48" s="36">
        <v>10</v>
      </c>
      <c r="M48" s="36">
        <v>10</v>
      </c>
      <c r="N48" s="36">
        <v>10</v>
      </c>
      <c r="O48" s="36">
        <v>7.5</v>
      </c>
      <c r="P48" s="36">
        <v>4.5</v>
      </c>
      <c r="Q48" s="36">
        <v>2</v>
      </c>
      <c r="R48" s="111">
        <v>0</v>
      </c>
      <c r="S48" s="112">
        <v>0</v>
      </c>
      <c r="T48" s="112">
        <v>0</v>
      </c>
      <c r="U48" s="112">
        <v>0</v>
      </c>
      <c r="V48" s="112">
        <v>0</v>
      </c>
      <c r="W48" s="112">
        <v>0</v>
      </c>
    </row>
    <row r="49" spans="1:23" x14ac:dyDescent="0.3">
      <c r="A49" s="143"/>
      <c r="B49" s="143" t="s">
        <v>19</v>
      </c>
      <c r="C49" s="57" t="s">
        <v>44</v>
      </c>
      <c r="D49" s="56" t="s">
        <v>67</v>
      </c>
      <c r="E49" s="56">
        <f t="shared" si="1"/>
        <v>4</v>
      </c>
      <c r="F49" s="37">
        <v>4</v>
      </c>
      <c r="G49" s="37">
        <v>4</v>
      </c>
      <c r="H49" s="37">
        <v>4</v>
      </c>
      <c r="I49" s="37">
        <v>4</v>
      </c>
      <c r="J49" s="37">
        <v>4</v>
      </c>
      <c r="K49" s="37">
        <v>4</v>
      </c>
      <c r="L49" s="37">
        <v>4</v>
      </c>
      <c r="M49" s="37">
        <v>4</v>
      </c>
      <c r="N49" s="37">
        <v>4</v>
      </c>
      <c r="O49" s="37">
        <v>4</v>
      </c>
      <c r="P49" s="37">
        <v>4</v>
      </c>
      <c r="Q49" s="37">
        <v>4</v>
      </c>
      <c r="R49" s="37">
        <v>4</v>
      </c>
      <c r="S49" s="37">
        <v>2</v>
      </c>
      <c r="T49" s="111">
        <v>0</v>
      </c>
      <c r="U49" s="112">
        <v>0</v>
      </c>
      <c r="V49" s="112">
        <v>0</v>
      </c>
      <c r="W49" s="112">
        <v>0</v>
      </c>
    </row>
    <row r="50" spans="1:23" x14ac:dyDescent="0.3">
      <c r="A50" s="143"/>
      <c r="B50" s="143"/>
      <c r="C50" s="57" t="s">
        <v>117</v>
      </c>
      <c r="D50" s="56" t="s">
        <v>65</v>
      </c>
      <c r="E50" s="56">
        <f t="shared" si="1"/>
        <v>4</v>
      </c>
      <c r="F50" s="37">
        <v>4</v>
      </c>
      <c r="G50" s="37">
        <v>4</v>
      </c>
      <c r="H50" s="37">
        <v>4</v>
      </c>
      <c r="I50" s="37">
        <v>4</v>
      </c>
      <c r="J50" s="37">
        <v>4</v>
      </c>
      <c r="K50" s="37">
        <v>4</v>
      </c>
      <c r="L50" s="37">
        <v>4</v>
      </c>
      <c r="M50" s="37">
        <v>4</v>
      </c>
      <c r="N50" s="37">
        <v>4</v>
      </c>
      <c r="O50" s="37">
        <v>4</v>
      </c>
      <c r="P50" s="37">
        <v>4</v>
      </c>
      <c r="Q50" s="37">
        <v>4</v>
      </c>
      <c r="R50" s="37">
        <v>4</v>
      </c>
      <c r="S50" s="37">
        <v>2</v>
      </c>
      <c r="T50" s="111">
        <v>0</v>
      </c>
      <c r="U50" s="112">
        <v>0</v>
      </c>
      <c r="V50" s="112">
        <v>0</v>
      </c>
      <c r="W50" s="112">
        <v>0</v>
      </c>
    </row>
    <row r="51" spans="1:23" ht="17.7" customHeight="1" x14ac:dyDescent="0.3">
      <c r="A51" s="143"/>
      <c r="B51" s="143"/>
      <c r="C51" s="57" t="s">
        <v>100</v>
      </c>
      <c r="D51" s="56" t="s">
        <v>66</v>
      </c>
      <c r="E51" s="56">
        <f t="shared" si="1"/>
        <v>4</v>
      </c>
      <c r="F51" s="37">
        <v>4</v>
      </c>
      <c r="G51" s="37">
        <v>4</v>
      </c>
      <c r="H51" s="37">
        <v>4</v>
      </c>
      <c r="I51" s="37">
        <v>4</v>
      </c>
      <c r="J51" s="37">
        <v>4</v>
      </c>
      <c r="K51" s="37">
        <v>4</v>
      </c>
      <c r="L51" s="37">
        <v>4</v>
      </c>
      <c r="M51" s="37">
        <v>4</v>
      </c>
      <c r="N51" s="37">
        <v>4</v>
      </c>
      <c r="O51" s="37">
        <v>4</v>
      </c>
      <c r="P51" s="37">
        <v>4</v>
      </c>
      <c r="Q51" s="37">
        <v>4</v>
      </c>
      <c r="R51" s="37">
        <v>4</v>
      </c>
      <c r="S51" s="37">
        <v>2</v>
      </c>
      <c r="T51" s="111">
        <v>0</v>
      </c>
      <c r="U51" s="112">
        <v>0</v>
      </c>
      <c r="V51" s="112">
        <v>0</v>
      </c>
      <c r="W51" s="112">
        <v>0</v>
      </c>
    </row>
    <row r="52" spans="1:23" x14ac:dyDescent="0.3">
      <c r="A52" s="143"/>
      <c r="B52" s="143"/>
      <c r="C52" s="57" t="s">
        <v>99</v>
      </c>
      <c r="D52" s="56" t="s">
        <v>35</v>
      </c>
      <c r="E52" s="56">
        <f t="shared" si="1"/>
        <v>4</v>
      </c>
      <c r="F52" s="37">
        <v>4</v>
      </c>
      <c r="G52" s="37">
        <v>4</v>
      </c>
      <c r="H52" s="37">
        <v>4</v>
      </c>
      <c r="I52" s="37">
        <v>4</v>
      </c>
      <c r="J52" s="37">
        <v>4</v>
      </c>
      <c r="K52" s="37">
        <v>4</v>
      </c>
      <c r="L52" s="37">
        <v>4</v>
      </c>
      <c r="M52" s="37">
        <v>4</v>
      </c>
      <c r="N52" s="37">
        <v>4</v>
      </c>
      <c r="O52" s="37">
        <v>4</v>
      </c>
      <c r="P52" s="37">
        <v>4</v>
      </c>
      <c r="Q52" s="37">
        <v>4</v>
      </c>
      <c r="R52" s="37">
        <v>4</v>
      </c>
      <c r="S52" s="37">
        <v>2</v>
      </c>
      <c r="T52" s="111">
        <v>0</v>
      </c>
      <c r="U52" s="112">
        <v>0</v>
      </c>
      <c r="V52" s="112">
        <v>0</v>
      </c>
      <c r="W52" s="112">
        <v>0</v>
      </c>
    </row>
    <row r="53" spans="1:23" x14ac:dyDescent="0.3">
      <c r="A53" s="143"/>
      <c r="B53" s="143"/>
      <c r="C53" s="57" t="s">
        <v>98</v>
      </c>
      <c r="D53" s="56" t="s">
        <v>68</v>
      </c>
      <c r="E53" s="56">
        <f t="shared" si="1"/>
        <v>5.5</v>
      </c>
      <c r="F53" s="37">
        <v>4</v>
      </c>
      <c r="G53" s="37">
        <v>4</v>
      </c>
      <c r="H53" s="37">
        <v>4</v>
      </c>
      <c r="I53" s="37">
        <v>4</v>
      </c>
      <c r="J53" s="37">
        <v>4</v>
      </c>
      <c r="K53" s="37">
        <v>4</v>
      </c>
      <c r="L53" s="37">
        <v>4</v>
      </c>
      <c r="M53" s="37">
        <v>4</v>
      </c>
      <c r="N53" s="37">
        <v>4</v>
      </c>
      <c r="O53" s="37">
        <v>4</v>
      </c>
      <c r="P53" s="37">
        <v>4</v>
      </c>
      <c r="Q53" s="37">
        <v>4</v>
      </c>
      <c r="R53" s="37">
        <v>4</v>
      </c>
      <c r="S53" s="37">
        <v>2</v>
      </c>
      <c r="T53" s="111">
        <v>0</v>
      </c>
      <c r="U53" s="112">
        <v>0</v>
      </c>
      <c r="V53" s="112">
        <v>0</v>
      </c>
      <c r="W53" s="112">
        <v>0</v>
      </c>
    </row>
    <row r="54" spans="1:23" x14ac:dyDescent="0.3">
      <c r="A54" s="143"/>
      <c r="B54" s="86"/>
      <c r="C54" s="57"/>
      <c r="D54" s="56"/>
      <c r="E54" s="56">
        <f t="shared" si="1"/>
        <v>0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115">
        <v>1.5</v>
      </c>
      <c r="U54" s="112"/>
      <c r="V54" s="112"/>
      <c r="W54" s="112"/>
    </row>
    <row r="55" spans="1:23" x14ac:dyDescent="0.3">
      <c r="A55" s="143"/>
      <c r="B55" s="143" t="s">
        <v>102</v>
      </c>
      <c r="C55" s="57" t="s">
        <v>44</v>
      </c>
      <c r="D55" s="56" t="s">
        <v>35</v>
      </c>
      <c r="E55" s="56">
        <f t="shared" si="1"/>
        <v>2</v>
      </c>
      <c r="F55" s="37">
        <v>2</v>
      </c>
      <c r="G55" s="37">
        <v>2</v>
      </c>
      <c r="H55" s="37">
        <v>2</v>
      </c>
      <c r="I55" s="37">
        <v>2</v>
      </c>
      <c r="J55" s="37">
        <v>2</v>
      </c>
      <c r="K55" s="37">
        <v>2</v>
      </c>
      <c r="L55" s="37">
        <v>2</v>
      </c>
      <c r="M55" s="37">
        <v>2</v>
      </c>
      <c r="N55" s="37">
        <v>2</v>
      </c>
      <c r="O55" s="37">
        <v>2</v>
      </c>
      <c r="P55" s="37">
        <v>2</v>
      </c>
      <c r="Q55" s="37">
        <v>2</v>
      </c>
      <c r="R55" s="37">
        <v>2</v>
      </c>
      <c r="S55" s="37">
        <v>2</v>
      </c>
      <c r="T55" s="37">
        <v>2</v>
      </c>
      <c r="U55" s="111">
        <v>0</v>
      </c>
      <c r="V55" s="112">
        <v>0</v>
      </c>
      <c r="W55" s="112">
        <v>0</v>
      </c>
    </row>
    <row r="56" spans="1:23" x14ac:dyDescent="0.3">
      <c r="A56" s="143"/>
      <c r="B56" s="143"/>
      <c r="C56" s="57" t="s">
        <v>117</v>
      </c>
      <c r="D56" s="56" t="s">
        <v>67</v>
      </c>
      <c r="E56" s="56">
        <f t="shared" si="1"/>
        <v>2</v>
      </c>
      <c r="F56" s="37">
        <v>2</v>
      </c>
      <c r="G56" s="37">
        <v>2</v>
      </c>
      <c r="H56" s="37">
        <v>2</v>
      </c>
      <c r="I56" s="37">
        <v>2</v>
      </c>
      <c r="J56" s="37">
        <v>2</v>
      </c>
      <c r="K56" s="37">
        <v>2</v>
      </c>
      <c r="L56" s="37">
        <v>2</v>
      </c>
      <c r="M56" s="37">
        <v>2</v>
      </c>
      <c r="N56" s="37">
        <v>2</v>
      </c>
      <c r="O56" s="37">
        <v>2</v>
      </c>
      <c r="P56" s="37">
        <v>2</v>
      </c>
      <c r="Q56" s="37">
        <v>2</v>
      </c>
      <c r="R56" s="37">
        <v>2</v>
      </c>
      <c r="S56" s="37">
        <v>2</v>
      </c>
      <c r="T56" s="37">
        <v>2</v>
      </c>
      <c r="U56" s="111">
        <v>0</v>
      </c>
      <c r="V56" s="112">
        <v>0</v>
      </c>
      <c r="W56" s="112">
        <v>0</v>
      </c>
    </row>
    <row r="57" spans="1:23" x14ac:dyDescent="0.3">
      <c r="A57" s="143"/>
      <c r="B57" s="143"/>
      <c r="C57" s="57" t="s">
        <v>100</v>
      </c>
      <c r="D57" s="56" t="s">
        <v>68</v>
      </c>
      <c r="E57" s="56">
        <f t="shared" si="1"/>
        <v>2</v>
      </c>
      <c r="F57" s="37">
        <v>2</v>
      </c>
      <c r="G57" s="37">
        <v>2</v>
      </c>
      <c r="H57" s="37">
        <v>2</v>
      </c>
      <c r="I57" s="37">
        <v>2</v>
      </c>
      <c r="J57" s="37">
        <v>2</v>
      </c>
      <c r="K57" s="37">
        <v>2</v>
      </c>
      <c r="L57" s="37">
        <v>2</v>
      </c>
      <c r="M57" s="37">
        <v>2</v>
      </c>
      <c r="N57" s="37">
        <v>2</v>
      </c>
      <c r="O57" s="37">
        <v>2</v>
      </c>
      <c r="P57" s="37">
        <v>2</v>
      </c>
      <c r="Q57" s="37">
        <v>2</v>
      </c>
      <c r="R57" s="37">
        <v>2</v>
      </c>
      <c r="S57" s="37">
        <v>2</v>
      </c>
      <c r="T57" s="37">
        <v>2</v>
      </c>
      <c r="U57" s="111">
        <v>0</v>
      </c>
      <c r="V57" s="112">
        <v>0</v>
      </c>
      <c r="W57" s="112">
        <v>0</v>
      </c>
    </row>
    <row r="58" spans="1:23" x14ac:dyDescent="0.3">
      <c r="A58" s="143"/>
      <c r="B58" s="143"/>
      <c r="C58" s="57" t="s">
        <v>99</v>
      </c>
      <c r="D58" s="56" t="s">
        <v>65</v>
      </c>
      <c r="E58" s="56">
        <f t="shared" si="1"/>
        <v>2</v>
      </c>
      <c r="F58" s="36">
        <v>2</v>
      </c>
      <c r="G58" s="36">
        <v>2</v>
      </c>
      <c r="H58" s="36">
        <v>2</v>
      </c>
      <c r="I58" s="36">
        <v>2</v>
      </c>
      <c r="J58" s="36">
        <v>2</v>
      </c>
      <c r="K58" s="36">
        <v>2</v>
      </c>
      <c r="L58" s="36">
        <v>2</v>
      </c>
      <c r="M58" s="36">
        <v>2</v>
      </c>
      <c r="N58" s="36">
        <v>2</v>
      </c>
      <c r="O58" s="36">
        <v>2</v>
      </c>
      <c r="P58" s="36">
        <v>2</v>
      </c>
      <c r="Q58" s="36">
        <v>2</v>
      </c>
      <c r="R58" s="36">
        <v>2</v>
      </c>
      <c r="S58" s="36">
        <v>2</v>
      </c>
      <c r="T58" s="36">
        <v>2</v>
      </c>
      <c r="U58" s="111">
        <v>0</v>
      </c>
      <c r="V58" s="112">
        <v>0</v>
      </c>
      <c r="W58" s="112">
        <v>0</v>
      </c>
    </row>
    <row r="59" spans="1:23" x14ac:dyDescent="0.3">
      <c r="A59" s="143"/>
      <c r="B59" s="143"/>
      <c r="C59" s="57" t="s">
        <v>98</v>
      </c>
      <c r="D59" s="56" t="s">
        <v>66</v>
      </c>
      <c r="E59" s="56">
        <f t="shared" si="1"/>
        <v>3</v>
      </c>
      <c r="F59" s="36">
        <v>2</v>
      </c>
      <c r="G59" s="36">
        <v>2</v>
      </c>
      <c r="H59" s="36">
        <v>2</v>
      </c>
      <c r="I59" s="36">
        <v>2</v>
      </c>
      <c r="J59" s="36">
        <v>2</v>
      </c>
      <c r="K59" s="36">
        <v>2</v>
      </c>
      <c r="L59" s="36">
        <v>2</v>
      </c>
      <c r="M59" s="36">
        <v>2</v>
      </c>
      <c r="N59" s="36">
        <v>2</v>
      </c>
      <c r="O59" s="36">
        <v>2</v>
      </c>
      <c r="P59" s="36">
        <v>2</v>
      </c>
      <c r="Q59" s="36">
        <v>2</v>
      </c>
      <c r="R59" s="36">
        <v>2</v>
      </c>
      <c r="S59" s="36">
        <v>2</v>
      </c>
      <c r="T59" s="36">
        <v>2</v>
      </c>
      <c r="U59" s="111">
        <v>0</v>
      </c>
      <c r="V59" s="112">
        <v>0</v>
      </c>
      <c r="W59" s="112">
        <v>0</v>
      </c>
    </row>
    <row r="60" spans="1:23" x14ac:dyDescent="0.3">
      <c r="A60" s="143"/>
      <c r="B60" s="86"/>
      <c r="C60" s="57"/>
      <c r="D60" s="56"/>
      <c r="E60" s="56">
        <f t="shared" si="1"/>
        <v>0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115">
        <v>1</v>
      </c>
      <c r="V60" s="112"/>
      <c r="W60" s="112"/>
    </row>
    <row r="61" spans="1:23" x14ac:dyDescent="0.3">
      <c r="A61" s="143"/>
      <c r="B61" s="143" t="s">
        <v>101</v>
      </c>
      <c r="C61" s="57" t="s">
        <v>44</v>
      </c>
      <c r="D61" s="56" t="s">
        <v>67</v>
      </c>
      <c r="E61" s="56">
        <f t="shared" si="1"/>
        <v>2</v>
      </c>
      <c r="F61" s="37">
        <v>2</v>
      </c>
      <c r="G61" s="37">
        <v>2</v>
      </c>
      <c r="H61" s="37">
        <v>2</v>
      </c>
      <c r="I61" s="37">
        <v>2</v>
      </c>
      <c r="J61" s="37">
        <v>2</v>
      </c>
      <c r="K61" s="37">
        <v>2</v>
      </c>
      <c r="L61" s="37">
        <v>2</v>
      </c>
      <c r="M61" s="37">
        <v>2</v>
      </c>
      <c r="N61" s="37">
        <v>2</v>
      </c>
      <c r="O61" s="37">
        <v>2</v>
      </c>
      <c r="P61" s="37">
        <v>2</v>
      </c>
      <c r="Q61" s="37">
        <v>2</v>
      </c>
      <c r="R61" s="37">
        <v>2</v>
      </c>
      <c r="S61" s="37">
        <v>2</v>
      </c>
      <c r="T61" s="37">
        <v>2</v>
      </c>
      <c r="U61" s="37">
        <v>2</v>
      </c>
      <c r="V61" s="111">
        <v>0</v>
      </c>
      <c r="W61" s="112">
        <v>0</v>
      </c>
    </row>
    <row r="62" spans="1:23" x14ac:dyDescent="0.3">
      <c r="A62" s="143"/>
      <c r="B62" s="143"/>
      <c r="C62" s="57" t="s">
        <v>117</v>
      </c>
      <c r="D62" s="56" t="s">
        <v>65</v>
      </c>
      <c r="E62" s="56">
        <f t="shared" si="1"/>
        <v>2</v>
      </c>
      <c r="F62" s="37">
        <v>2</v>
      </c>
      <c r="G62" s="37">
        <v>2</v>
      </c>
      <c r="H62" s="37">
        <v>2</v>
      </c>
      <c r="I62" s="37">
        <v>2</v>
      </c>
      <c r="J62" s="37">
        <v>2</v>
      </c>
      <c r="K62" s="37">
        <v>2</v>
      </c>
      <c r="L62" s="37">
        <v>2</v>
      </c>
      <c r="M62" s="37">
        <v>2</v>
      </c>
      <c r="N62" s="37">
        <v>2</v>
      </c>
      <c r="O62" s="37">
        <v>2</v>
      </c>
      <c r="P62" s="37">
        <v>2</v>
      </c>
      <c r="Q62" s="37">
        <v>2</v>
      </c>
      <c r="R62" s="37">
        <v>2</v>
      </c>
      <c r="S62" s="37">
        <v>2</v>
      </c>
      <c r="T62" s="37">
        <v>2</v>
      </c>
      <c r="U62" s="37">
        <v>2</v>
      </c>
      <c r="V62" s="111">
        <v>0</v>
      </c>
      <c r="W62" s="112">
        <v>0</v>
      </c>
    </row>
    <row r="63" spans="1:23" x14ac:dyDescent="0.3">
      <c r="A63" s="143"/>
      <c r="B63" s="143"/>
      <c r="C63" s="57" t="s">
        <v>100</v>
      </c>
      <c r="D63" s="56" t="s">
        <v>66</v>
      </c>
      <c r="E63" s="56">
        <f t="shared" si="1"/>
        <v>1.5</v>
      </c>
      <c r="F63" s="37">
        <v>2</v>
      </c>
      <c r="G63" s="37">
        <v>2</v>
      </c>
      <c r="H63" s="37">
        <v>2</v>
      </c>
      <c r="I63" s="37">
        <v>2</v>
      </c>
      <c r="J63" s="37">
        <v>2</v>
      </c>
      <c r="K63" s="37">
        <v>2</v>
      </c>
      <c r="L63" s="37">
        <v>2</v>
      </c>
      <c r="M63" s="37">
        <v>2</v>
      </c>
      <c r="N63" s="37">
        <v>2</v>
      </c>
      <c r="O63" s="37">
        <v>2</v>
      </c>
      <c r="P63" s="37">
        <v>2</v>
      </c>
      <c r="Q63" s="37">
        <v>2</v>
      </c>
      <c r="R63" s="37">
        <v>2</v>
      </c>
      <c r="S63" s="37">
        <v>2</v>
      </c>
      <c r="T63" s="37">
        <v>2</v>
      </c>
      <c r="U63" s="37">
        <v>2</v>
      </c>
      <c r="V63" s="111">
        <v>0</v>
      </c>
      <c r="W63" s="112">
        <v>0</v>
      </c>
    </row>
    <row r="64" spans="1:23" x14ac:dyDescent="0.3">
      <c r="A64" s="143"/>
      <c r="B64" s="143"/>
      <c r="C64" s="57"/>
      <c r="D64" s="56"/>
      <c r="E64" s="56">
        <f t="shared" si="1"/>
        <v>0</v>
      </c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116">
        <v>-0.5</v>
      </c>
      <c r="W64" s="112"/>
    </row>
    <row r="65" spans="1:23" x14ac:dyDescent="0.3">
      <c r="A65" s="143"/>
      <c r="B65" s="143"/>
      <c r="C65" s="57" t="s">
        <v>99</v>
      </c>
      <c r="D65" s="56" t="s">
        <v>35</v>
      </c>
      <c r="E65" s="56">
        <f t="shared" si="1"/>
        <v>2</v>
      </c>
      <c r="F65" s="37">
        <v>2</v>
      </c>
      <c r="G65" s="37">
        <v>2</v>
      </c>
      <c r="H65" s="37">
        <v>2</v>
      </c>
      <c r="I65" s="37">
        <v>2</v>
      </c>
      <c r="J65" s="37">
        <v>2</v>
      </c>
      <c r="K65" s="37">
        <v>2</v>
      </c>
      <c r="L65" s="37">
        <v>2</v>
      </c>
      <c r="M65" s="37">
        <v>2</v>
      </c>
      <c r="N65" s="37">
        <v>2</v>
      </c>
      <c r="O65" s="37">
        <v>2</v>
      </c>
      <c r="P65" s="37">
        <v>2</v>
      </c>
      <c r="Q65" s="37">
        <v>2</v>
      </c>
      <c r="R65" s="37">
        <v>2</v>
      </c>
      <c r="S65" s="37">
        <v>2</v>
      </c>
      <c r="T65" s="37">
        <v>2</v>
      </c>
      <c r="U65" s="37">
        <v>2</v>
      </c>
      <c r="V65" s="111">
        <v>0</v>
      </c>
      <c r="W65" s="112">
        <v>0</v>
      </c>
    </row>
    <row r="66" spans="1:23" x14ac:dyDescent="0.3">
      <c r="A66" s="143"/>
      <c r="B66" s="143"/>
      <c r="C66" s="57" t="s">
        <v>98</v>
      </c>
      <c r="D66" s="56" t="s">
        <v>68</v>
      </c>
      <c r="E66" s="56">
        <f t="shared" si="1"/>
        <v>2</v>
      </c>
      <c r="F66" s="37">
        <v>2</v>
      </c>
      <c r="G66" s="37">
        <v>2</v>
      </c>
      <c r="H66" s="37">
        <v>2</v>
      </c>
      <c r="I66" s="37">
        <v>2</v>
      </c>
      <c r="J66" s="37">
        <v>2</v>
      </c>
      <c r="K66" s="37">
        <v>2</v>
      </c>
      <c r="L66" s="37">
        <v>2</v>
      </c>
      <c r="M66" s="37">
        <v>2</v>
      </c>
      <c r="N66" s="37">
        <v>2</v>
      </c>
      <c r="O66" s="37">
        <v>2</v>
      </c>
      <c r="P66" s="37">
        <v>2</v>
      </c>
      <c r="Q66" s="37">
        <v>2</v>
      </c>
      <c r="R66" s="37">
        <v>2</v>
      </c>
      <c r="S66" s="37">
        <v>2</v>
      </c>
      <c r="T66" s="37">
        <v>2</v>
      </c>
      <c r="U66" s="37">
        <v>2</v>
      </c>
      <c r="V66" s="111">
        <v>0</v>
      </c>
      <c r="W66" s="112">
        <v>0</v>
      </c>
    </row>
    <row r="67" spans="1:23" x14ac:dyDescent="0.3">
      <c r="A67" s="143"/>
      <c r="B67" s="143" t="s">
        <v>97</v>
      </c>
      <c r="C67" s="54" t="s">
        <v>96</v>
      </c>
      <c r="D67" s="53" t="s">
        <v>27</v>
      </c>
      <c r="E67" s="112">
        <v>5</v>
      </c>
      <c r="F67" s="36">
        <v>5</v>
      </c>
      <c r="G67" s="36">
        <v>5</v>
      </c>
      <c r="H67" s="36">
        <v>5</v>
      </c>
      <c r="I67" s="36">
        <v>5</v>
      </c>
      <c r="J67" s="36">
        <v>5</v>
      </c>
      <c r="K67" s="36">
        <v>5</v>
      </c>
      <c r="L67" s="36">
        <v>5</v>
      </c>
      <c r="M67" s="36">
        <v>5</v>
      </c>
      <c r="N67" s="36">
        <v>5</v>
      </c>
      <c r="O67" s="36">
        <v>5</v>
      </c>
      <c r="P67" s="36">
        <v>5</v>
      </c>
      <c r="Q67" s="36">
        <v>5</v>
      </c>
      <c r="R67" s="36">
        <v>5</v>
      </c>
      <c r="S67" s="36">
        <v>5</v>
      </c>
      <c r="T67" s="36">
        <v>5</v>
      </c>
      <c r="U67" s="36">
        <v>5</v>
      </c>
      <c r="V67" s="112">
        <v>5</v>
      </c>
      <c r="W67" s="111">
        <v>0</v>
      </c>
    </row>
    <row r="68" spans="1:23" x14ac:dyDescent="0.3">
      <c r="A68" s="143"/>
      <c r="B68" s="143"/>
      <c r="C68" s="54" t="s">
        <v>95</v>
      </c>
      <c r="D68" s="53" t="s">
        <v>27</v>
      </c>
      <c r="E68" s="112">
        <v>5</v>
      </c>
      <c r="F68" s="36">
        <v>5</v>
      </c>
      <c r="G68" s="36">
        <v>5</v>
      </c>
      <c r="H68" s="36">
        <v>5</v>
      </c>
      <c r="I68" s="36">
        <v>5</v>
      </c>
      <c r="J68" s="36">
        <v>5</v>
      </c>
      <c r="K68" s="36">
        <v>5</v>
      </c>
      <c r="L68" s="36">
        <v>5</v>
      </c>
      <c r="M68" s="36">
        <v>5</v>
      </c>
      <c r="N68" s="36">
        <v>5</v>
      </c>
      <c r="O68" s="36">
        <v>5</v>
      </c>
      <c r="P68" s="36">
        <v>5</v>
      </c>
      <c r="Q68" s="36">
        <v>5</v>
      </c>
      <c r="R68" s="36">
        <v>5</v>
      </c>
      <c r="S68" s="36">
        <v>5</v>
      </c>
      <c r="T68" s="36">
        <v>5</v>
      </c>
      <c r="U68" s="36">
        <v>5</v>
      </c>
      <c r="V68" s="112">
        <v>5</v>
      </c>
      <c r="W68" s="111">
        <v>0</v>
      </c>
    </row>
    <row r="69" spans="1:23" x14ac:dyDescent="0.3">
      <c r="A69" s="143"/>
      <c r="B69" s="144" t="s">
        <v>12</v>
      </c>
      <c r="C69" s="144"/>
      <c r="D69" s="52" t="s">
        <v>11</v>
      </c>
      <c r="E69" s="141">
        <f>SUM(E16:E68)</f>
        <v>176.5</v>
      </c>
      <c r="F69" s="141"/>
      <c r="G69" s="52">
        <f t="shared" ref="G69:W69" si="2">SUM(G16:G68)</f>
        <v>160</v>
      </c>
      <c r="H69" s="52">
        <f t="shared" si="2"/>
        <v>150</v>
      </c>
      <c r="I69" s="52">
        <f t="shared" si="2"/>
        <v>140</v>
      </c>
      <c r="J69" s="52">
        <f t="shared" si="2"/>
        <v>130.5</v>
      </c>
      <c r="K69" s="52">
        <f t="shared" si="2"/>
        <v>120</v>
      </c>
      <c r="L69" s="52">
        <f t="shared" si="2"/>
        <v>110.5</v>
      </c>
      <c r="M69" s="52">
        <f t="shared" si="2"/>
        <v>100</v>
      </c>
      <c r="N69" s="52">
        <f t="shared" si="2"/>
        <v>91</v>
      </c>
      <c r="O69" s="52">
        <f t="shared" si="2"/>
        <v>82.5</v>
      </c>
      <c r="P69" s="52">
        <f t="shared" si="2"/>
        <v>70</v>
      </c>
      <c r="Q69" s="52">
        <f t="shared" si="2"/>
        <v>60</v>
      </c>
      <c r="R69" s="52">
        <f t="shared" si="2"/>
        <v>51</v>
      </c>
      <c r="S69" s="52">
        <f t="shared" si="2"/>
        <v>40</v>
      </c>
      <c r="T69" s="52">
        <f t="shared" si="2"/>
        <v>31.5</v>
      </c>
      <c r="U69" s="52">
        <f t="shared" si="2"/>
        <v>21</v>
      </c>
      <c r="V69" s="52">
        <f t="shared" si="2"/>
        <v>9.5</v>
      </c>
      <c r="W69" s="52">
        <f t="shared" si="2"/>
        <v>0</v>
      </c>
    </row>
    <row r="70" spans="1:23" x14ac:dyDescent="0.3">
      <c r="A70" s="143"/>
      <c r="B70" s="144"/>
      <c r="C70" s="144"/>
      <c r="D70" s="52" t="s">
        <v>28</v>
      </c>
      <c r="E70" s="141">
        <f>SUM(F16:F68)</f>
        <v>170</v>
      </c>
      <c r="F70" s="141"/>
      <c r="G70" s="52">
        <f>SUM(G16:G68)</f>
        <v>160</v>
      </c>
      <c r="H70" s="52">
        <f>SUM(H16:H68)</f>
        <v>150</v>
      </c>
      <c r="I70" s="52">
        <f>SUM(I16:I68)</f>
        <v>140</v>
      </c>
      <c r="J70" s="52">
        <f>SUM(J16:J68)-J21-J24</f>
        <v>130</v>
      </c>
      <c r="K70" s="52">
        <f>SUM(K16:K68)</f>
        <v>120</v>
      </c>
      <c r="L70" s="52">
        <f>SUM(L16:L68)-L29</f>
        <v>110</v>
      </c>
      <c r="M70" s="52">
        <f>SUM(M16:M68)</f>
        <v>100</v>
      </c>
      <c r="N70" s="52">
        <f>SUM(N16:N68)</f>
        <v>91</v>
      </c>
      <c r="O70" s="52">
        <f>SUM(O16:O68)-O40-O35-O37</f>
        <v>80</v>
      </c>
      <c r="P70" s="52">
        <f>SUM(P16:P68)</f>
        <v>70</v>
      </c>
      <c r="Q70" s="52">
        <f>SUM(Q16:Q68)</f>
        <v>60</v>
      </c>
      <c r="R70" s="52">
        <f>SUM(R16:R68)-R47</f>
        <v>50</v>
      </c>
      <c r="S70" s="52">
        <f>SUM(S16:S68)</f>
        <v>40</v>
      </c>
      <c r="T70" s="52">
        <f>SUM(T16:T68)-T54</f>
        <v>30</v>
      </c>
      <c r="U70" s="52">
        <f>SUM(U16:U68)-U60</f>
        <v>20</v>
      </c>
      <c r="V70" s="52">
        <f>SUM(V16:V68)-V64</f>
        <v>10</v>
      </c>
      <c r="W70" s="52">
        <f>SUM(W16:W68)</f>
        <v>0</v>
      </c>
    </row>
  </sheetData>
  <mergeCells count="20">
    <mergeCell ref="E70:F70"/>
    <mergeCell ref="A16:A70"/>
    <mergeCell ref="B19:B26"/>
    <mergeCell ref="B27:B33"/>
    <mergeCell ref="B34:B48"/>
    <mergeCell ref="B49:B53"/>
    <mergeCell ref="B55:B59"/>
    <mergeCell ref="B61:B66"/>
    <mergeCell ref="B67:B68"/>
    <mergeCell ref="B69:C70"/>
    <mergeCell ref="A1:B1"/>
    <mergeCell ref="A2:B2"/>
    <mergeCell ref="A3:B3"/>
    <mergeCell ref="A4:B4"/>
    <mergeCell ref="B6:D6"/>
    <mergeCell ref="B13:C13"/>
    <mergeCell ref="B16:C16"/>
    <mergeCell ref="B17:C17"/>
    <mergeCell ref="B18:C18"/>
    <mergeCell ref="E69:F6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I12" sqref="I12"/>
    </sheetView>
  </sheetViews>
  <sheetFormatPr defaultRowHeight="15.05" x14ac:dyDescent="0.3"/>
  <cols>
    <col min="2" max="2" width="11.109375" bestFit="1" customWidth="1"/>
    <col min="3" max="11" width="10" customWidth="1"/>
  </cols>
  <sheetData>
    <row r="1" spans="1:11" ht="16.899999999999999" x14ac:dyDescent="0.3">
      <c r="A1" s="122" t="s">
        <v>30</v>
      </c>
      <c r="B1" s="123"/>
      <c r="C1" s="123"/>
      <c r="D1" s="123"/>
      <c r="E1" s="123"/>
      <c r="F1" s="123"/>
      <c r="G1" s="123"/>
      <c r="H1" s="123"/>
      <c r="I1" s="123"/>
      <c r="J1" s="123"/>
      <c r="K1" s="124"/>
    </row>
    <row r="2" spans="1:11" ht="16.899999999999999" x14ac:dyDescent="0.3">
      <c r="A2" s="125"/>
      <c r="B2" s="126" t="s">
        <v>65</v>
      </c>
      <c r="C2" s="126"/>
      <c r="D2" s="126" t="s">
        <v>67</v>
      </c>
      <c r="E2" s="126"/>
      <c r="F2" s="126" t="s">
        <v>35</v>
      </c>
      <c r="G2" s="126"/>
      <c r="H2" s="126" t="s">
        <v>68</v>
      </c>
      <c r="I2" s="126"/>
      <c r="J2" s="126" t="s">
        <v>66</v>
      </c>
      <c r="K2" s="127"/>
    </row>
    <row r="3" spans="1:11" ht="16.899999999999999" x14ac:dyDescent="0.3">
      <c r="A3" s="125"/>
      <c r="B3" s="10" t="s">
        <v>11</v>
      </c>
      <c r="C3" s="10" t="s">
        <v>28</v>
      </c>
      <c r="D3" s="10" t="s">
        <v>11</v>
      </c>
      <c r="E3" s="10" t="s">
        <v>28</v>
      </c>
      <c r="F3" s="10" t="s">
        <v>11</v>
      </c>
      <c r="G3" s="10" t="s">
        <v>28</v>
      </c>
      <c r="H3" s="10" t="s">
        <v>11</v>
      </c>
      <c r="I3" s="10" t="s">
        <v>28</v>
      </c>
      <c r="J3" s="10" t="s">
        <v>11</v>
      </c>
      <c r="K3" s="11" t="s">
        <v>28</v>
      </c>
    </row>
    <row r="4" spans="1:11" ht="16.899999999999999" x14ac:dyDescent="0.3">
      <c r="A4" s="14" t="s">
        <v>4</v>
      </c>
      <c r="B4" s="48">
        <f>'Sprint 1'!D8</f>
        <v>35.299999999999997</v>
      </c>
      <c r="C4" s="48">
        <f>'Sprint 1'!E8</f>
        <v>35.299999999999997</v>
      </c>
      <c r="D4" s="48">
        <f>'Sprint 1'!D9</f>
        <v>34.799999999999997</v>
      </c>
      <c r="E4" s="48">
        <f>'Sprint 1'!E9</f>
        <v>31.799999999999997</v>
      </c>
      <c r="F4" s="48">
        <f>'Sprint 1'!D10</f>
        <v>36.299999999999997</v>
      </c>
      <c r="G4" s="48">
        <f>'Sprint 1'!E10</f>
        <v>34.299999999999997</v>
      </c>
      <c r="H4" s="48">
        <f>'Sprint 1'!D11</f>
        <v>36.799999999999997</v>
      </c>
      <c r="I4" s="48">
        <f>'Sprint 1'!E11</f>
        <v>33.799999999999997</v>
      </c>
      <c r="J4" s="48">
        <f>'Sprint 1'!D12</f>
        <v>35.299999999999997</v>
      </c>
      <c r="K4" s="81">
        <f>'Sprint 1'!E12</f>
        <v>34.799999999999997</v>
      </c>
    </row>
    <row r="5" spans="1:11" ht="16.899999999999999" x14ac:dyDescent="0.3">
      <c r="A5" s="14" t="s">
        <v>24</v>
      </c>
      <c r="B5" s="48">
        <f>'Sprint 2'!D8</f>
        <v>35.1</v>
      </c>
      <c r="C5" s="48">
        <f>'Sprint 2'!E8</f>
        <v>33.6</v>
      </c>
      <c r="D5" s="48">
        <f>'Sprint 2'!D9</f>
        <v>35.1</v>
      </c>
      <c r="E5" s="48">
        <f>'Sprint 2'!E9</f>
        <v>33.6</v>
      </c>
      <c r="F5" s="48">
        <f>'Sprint 2'!D10</f>
        <v>35.1</v>
      </c>
      <c r="G5" s="48">
        <f>'Sprint 2'!E10</f>
        <v>33.6</v>
      </c>
      <c r="H5" s="48">
        <f>'Sprint 2'!D11</f>
        <v>35.1</v>
      </c>
      <c r="I5" s="48">
        <f>'Sprint 2'!E11</f>
        <v>34.6</v>
      </c>
      <c r="J5" s="48">
        <f>'Sprint 2'!D12</f>
        <v>35.1</v>
      </c>
      <c r="K5" s="81">
        <f>'Sprint 2'!E12</f>
        <v>34.6</v>
      </c>
    </row>
    <row r="6" spans="1:11" ht="16.899999999999999" x14ac:dyDescent="0.3">
      <c r="A6" s="14" t="s">
        <v>25</v>
      </c>
      <c r="B6" s="80">
        <f>'Sprint 3'!D8</f>
        <v>35.1</v>
      </c>
      <c r="C6" s="80">
        <f>'Sprint 3'!E8</f>
        <v>33.6</v>
      </c>
      <c r="D6" s="80">
        <f>'Sprint 3'!D9</f>
        <v>35.1</v>
      </c>
      <c r="E6" s="80">
        <f>'Sprint 3'!E9</f>
        <v>34.6</v>
      </c>
      <c r="F6" s="80">
        <f>'Sprint 3'!D10</f>
        <v>35.6</v>
      </c>
      <c r="G6" s="80">
        <f>'Sprint 3'!E10</f>
        <v>34.6</v>
      </c>
      <c r="H6" s="80">
        <f>'Sprint 3'!D11</f>
        <v>35.1</v>
      </c>
      <c r="I6" s="80">
        <f>'Sprint 3'!E11</f>
        <v>33.6</v>
      </c>
      <c r="J6" s="80">
        <f>'Sprint 3'!D12</f>
        <v>35.6</v>
      </c>
      <c r="K6" s="82">
        <f>'Sprint 3'!E12</f>
        <v>33.6</v>
      </c>
    </row>
    <row r="7" spans="1:11" ht="17.55" thickBot="1" x14ac:dyDescent="0.35">
      <c r="A7" s="15" t="s">
        <v>12</v>
      </c>
      <c r="B7" s="13">
        <f>SUM(B4:B6)</f>
        <v>105.5</v>
      </c>
      <c r="C7" s="13">
        <f t="shared" ref="C7:K7" si="0">SUM(C4:C6)</f>
        <v>102.5</v>
      </c>
      <c r="D7" s="13">
        <f t="shared" si="0"/>
        <v>105</v>
      </c>
      <c r="E7" s="13">
        <f t="shared" si="0"/>
        <v>100</v>
      </c>
      <c r="F7" s="13">
        <f t="shared" si="0"/>
        <v>107</v>
      </c>
      <c r="G7" s="13">
        <f t="shared" si="0"/>
        <v>102.5</v>
      </c>
      <c r="H7" s="13">
        <f t="shared" si="0"/>
        <v>107</v>
      </c>
      <c r="I7" s="13">
        <f t="shared" si="0"/>
        <v>102</v>
      </c>
      <c r="J7" s="13">
        <f t="shared" si="0"/>
        <v>106</v>
      </c>
      <c r="K7" s="83">
        <f t="shared" si="0"/>
        <v>103</v>
      </c>
    </row>
    <row r="9" spans="1:11" ht="15.65" thickBot="1" x14ac:dyDescent="0.35"/>
    <row r="10" spans="1:11" ht="16.899999999999999" x14ac:dyDescent="0.3">
      <c r="E10" s="120" t="s">
        <v>31</v>
      </c>
      <c r="F10" s="121"/>
    </row>
    <row r="11" spans="1:11" ht="16.899999999999999" x14ac:dyDescent="0.3">
      <c r="E11" s="16" t="s">
        <v>11</v>
      </c>
      <c r="F11" s="17">
        <f>SUMIF($B$3:$K$3,"Thực tế",$B$7:$K$7)</f>
        <v>530.5</v>
      </c>
    </row>
    <row r="12" spans="1:11" ht="17.55" thickBot="1" x14ac:dyDescent="0.35">
      <c r="E12" s="18" t="s">
        <v>28</v>
      </c>
      <c r="F12" s="19">
        <f>SUMIF($B$3:$K$3,"Ước tính",$B$7:$K$7)</f>
        <v>510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Nhi Trần</cp:lastModifiedBy>
  <dcterms:created xsi:type="dcterms:W3CDTF">2021-04-23T08:05:10Z</dcterms:created>
  <dcterms:modified xsi:type="dcterms:W3CDTF">2026-05-09T08:41:54Z</dcterms:modified>
</cp:coreProperties>
</file>