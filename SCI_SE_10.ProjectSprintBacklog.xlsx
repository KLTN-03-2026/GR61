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nhi\Khóa luận tốt nghiệp\Bao cao Su dung cho de tai nhom\"/>
    </mc:Choice>
  </mc:AlternateContent>
  <xr:revisionPtr revIDLastSave="0" documentId="8_{19015F91-B475-4FF4-A0BE-C8D25F37A44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print 1" sheetId="1" r:id="rId1"/>
    <sheet name="Tot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J4" i="4"/>
  <c r="I4" i="4"/>
  <c r="H4" i="4"/>
  <c r="G4" i="4"/>
  <c r="F4" i="4"/>
  <c r="E4" i="4"/>
  <c r="D4" i="4"/>
  <c r="C4" i="4"/>
  <c r="B4" i="4"/>
  <c r="T89" i="1"/>
  <c r="T88" i="1"/>
  <c r="J89" i="1"/>
  <c r="O89" i="1"/>
  <c r="O88" i="1"/>
  <c r="N89" i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18" i="1"/>
  <c r="L89" i="1"/>
  <c r="M89" i="1"/>
  <c r="V89" i="1"/>
  <c r="U89" i="1"/>
  <c r="S89" i="1"/>
  <c r="R89" i="1"/>
  <c r="P89" i="1"/>
  <c r="P88" i="1"/>
  <c r="K89" i="1"/>
  <c r="J88" i="1"/>
  <c r="I89" i="1"/>
  <c r="G89" i="1"/>
  <c r="H88" i="1"/>
  <c r="I88" i="1"/>
  <c r="K88" i="1"/>
  <c r="L88" i="1"/>
  <c r="M88" i="1"/>
  <c r="N88" i="1"/>
  <c r="Q88" i="1"/>
  <c r="R88" i="1"/>
  <c r="S88" i="1"/>
  <c r="U88" i="1"/>
  <c r="V88" i="1"/>
  <c r="W88" i="1"/>
  <c r="G88" i="1"/>
  <c r="Q89" i="1"/>
  <c r="W89" i="1"/>
  <c r="H89" i="1"/>
  <c r="E89" i="1"/>
  <c r="D12" i="1" l="1" a="1"/>
  <c r="D12" i="1" s="1"/>
  <c r="D9" i="1" a="1"/>
  <c r="D9" i="1" s="1"/>
  <c r="D10" i="1" a="1"/>
  <c r="D10" i="1" s="1"/>
  <c r="E88" i="1"/>
  <c r="D11" i="1" a="1"/>
  <c r="D11" i="1" s="1"/>
  <c r="D8" i="1" a="1"/>
  <c r="D8" i="1" s="1"/>
  <c r="E13" i="1"/>
  <c r="D13" i="1" l="1"/>
  <c r="F7" i="4" l="1"/>
  <c r="K7" i="4"/>
  <c r="C7" i="4"/>
  <c r="G7" i="4"/>
  <c r="J7" i="4"/>
  <c r="E7" i="4"/>
  <c r="I7" i="4"/>
  <c r="H7" i="4"/>
  <c r="F12" i="4" l="1"/>
  <c r="D7" i="4"/>
  <c r="B7" i="4"/>
  <c r="F11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<sst xmlns="http://schemas.openxmlformats.org/spreadsheetml/2006/main" count="175" uniqueCount="74">
  <si>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</si>
  <si>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</si>
  <si>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</si>
  <si>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</si>
  <si>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</si>
  <si>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</si>
  <si>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</si>
  <si>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</si>
  <si>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</si>
  <si>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</si>
  <si>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</si>
  <si>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</si>
  <si>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</si>
  <si>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</si>
  <si>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</si>
  <si>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</si>
  <si>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User interface design</t>
  </si>
  <si>
    <t>Design test case</t>
  </si>
  <si>
    <t>Coding</t>
  </si>
  <si>
    <t>Testing</t>
  </si>
  <si>
    <t>Fix Bug</t>
  </si>
  <si>
    <t>Sprint 1 review meeting</t>
  </si>
  <si>
    <t>Sprint 1 retrospective</t>
  </si>
  <si>
    <t>Release Sprint 1</t>
  </si>
  <si>
    <t>Sprint 2</t>
  </si>
  <si>
    <t>Sprint 3</t>
  </si>
  <si>
    <t>Re-testing</t>
  </si>
  <si>
    <t>All team</t>
  </si>
  <si>
    <t>Ước tính</t>
  </si>
  <si>
    <t>Thành viên</t>
  </si>
  <si>
    <t>SPRINT BACKLOG REPORT</t>
  </si>
  <si>
    <t>FINAL TOTAL</t>
  </si>
  <si>
    <t>Trước thời hạn</t>
  </si>
  <si>
    <t>Muộn</t>
  </si>
  <si>
    <t>Kết thúc đúng hạn</t>
  </si>
  <si>
    <t>Hoàng</t>
  </si>
  <si>
    <t xml:space="preserve">THIẾT KẾ VÀ PHÁT TRIỂN NỀN TẢNG HỌC TẬP THÔNG MINH TÍCH HỢP TRỢ LÝ ẢO AI VÀ CÁ NHÂN HOÁ LỘ TRÌNH HỌC TẬP </t>
  </si>
  <si>
    <t>22/3/2026</t>
  </si>
  <si>
    <t>Trần Thị Yến Nhi</t>
  </si>
  <si>
    <t>Trần Duy Dũng</t>
  </si>
  <si>
    <t>Trần Thị Thuý Hằng</t>
  </si>
  <si>
    <t>Trần Huy Hoàng</t>
  </si>
  <si>
    <t>Nguyễn Lê Nguyên</t>
  </si>
  <si>
    <t xml:space="preserve">Đăng ký </t>
  </si>
  <si>
    <t>Đăng nhập</t>
  </si>
  <si>
    <t>Đăng xuất</t>
  </si>
  <si>
    <t>Quên mật khẩu</t>
  </si>
  <si>
    <t>Quản lý thông tin cá nhân</t>
  </si>
  <si>
    <t xml:space="preserve">Quản lý lịch học bằng calendar </t>
  </si>
  <si>
    <t>Quản lý danh sách công việc (todo-list) với mức độ ưu tiên và trạng thái</t>
  </si>
  <si>
    <t>Review of Sprint 1</t>
  </si>
  <si>
    <t>Review all test case of Sprint 1</t>
  </si>
  <si>
    <t>Code BackEnd Đăng ký</t>
  </si>
  <si>
    <t>Code BackEnd Đăng nhập</t>
  </si>
  <si>
    <t>Code BackEnd Đăng xuất</t>
  </si>
  <si>
    <t>Code BackEnd Quên mật khẩu</t>
  </si>
  <si>
    <t>Code BackEnd Quản lý thông tin cá nhân</t>
  </si>
  <si>
    <t>Code BackEnd Quản lý lịch học bằng calendar</t>
  </si>
  <si>
    <t>Code BackEnd Quản lý danh sách công việc (todo-list) với mức độ ưu tiên và trạng thái</t>
  </si>
  <si>
    <t>Code FrontEnd Đăng ký</t>
  </si>
  <si>
    <t>Code FrontEnd Đăng nhập</t>
  </si>
  <si>
    <t>Code FrontEnd Đăng xuất</t>
  </si>
  <si>
    <t>Code FrontEnd Quên mật khẩu</t>
  </si>
  <si>
    <t>Code FrontEnd Quản lý thông tin cá nhân</t>
  </si>
  <si>
    <t>Code FrontEnd Quản lý lịch học bằng calendar</t>
  </si>
  <si>
    <t>Code FrontEnd Quản lý danh sách công việc (todo-list) với mức độ ưu tiên và trạng thái</t>
  </si>
  <si>
    <t>Integrate Code</t>
  </si>
  <si>
    <t>All Team</t>
  </si>
  <si>
    <t>Dũng</t>
  </si>
  <si>
    <t>Nhi</t>
  </si>
  <si>
    <t>Hằng</t>
  </si>
  <si>
    <t>Nguyên</t>
  </si>
  <si>
    <t>Nguyên, Hằng</t>
  </si>
  <si>
    <t>Hằng, Hoàng,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</si>
</sst>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;@"/>
  </numFmts>
  <fonts count="5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5" borderId="2" xfId="0" applyFont="1" applyFill="1" applyBorder="1"/>
    <xf numFmtId="0" fontId="2" fillId="6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/>
    <xf numFmtId="0" fontId="1" fillId="3" borderId="6" xfId="0" applyFont="1" applyFill="1" applyBorder="1"/>
    <xf numFmtId="0" fontId="1" fillId="4" borderId="8" xfId="0" applyFont="1" applyFill="1" applyBorder="1"/>
    <xf numFmtId="0" fontId="2" fillId="5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1" fillId="8" borderId="6" xfId="0" applyFont="1" applyFill="1" applyBorder="1"/>
    <xf numFmtId="0" fontId="1" fillId="0" borderId="7" xfId="0" applyFont="1" applyBorder="1"/>
    <xf numFmtId="0" fontId="1" fillId="8" borderId="8" xfId="0" applyFont="1" applyFill="1" applyBorder="1"/>
    <xf numFmtId="0" fontId="1" fillId="0" borderId="10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textRotation="90" wrapText="1"/>
    </xf>
    <xf numFmtId="165" fontId="2" fillId="0" borderId="1" xfId="0" applyNumberFormat="1" applyFont="1" applyBorder="1" applyAlignment="1">
      <alignment horizontal="center" textRotation="90" wrapText="1"/>
    </xf>
    <xf numFmtId="2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1'!$G$15:$W$15</c:f>
              <c:numCache>
                <c:formatCode>[$-1010000]d/m/yy;@</c:formatCode>
                <c:ptCount val="17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</c:numCache>
            </c:numRef>
          </c:cat>
          <c:val>
            <c:numRef>
              <c:f>'Sprint 1'!$G$88:$W$88</c:f>
              <c:numCache>
                <c:formatCode>General</c:formatCode>
                <c:ptCount val="17"/>
                <c:pt idx="0">
                  <c:v>158</c:v>
                </c:pt>
                <c:pt idx="1">
                  <c:v>148</c:v>
                </c:pt>
                <c:pt idx="2">
                  <c:v>140</c:v>
                </c:pt>
                <c:pt idx="3">
                  <c:v>128</c:v>
                </c:pt>
                <c:pt idx="4">
                  <c:v>118.5</c:v>
                </c:pt>
                <c:pt idx="5">
                  <c:v>110</c:v>
                </c:pt>
                <c:pt idx="6">
                  <c:v>101</c:v>
                </c:pt>
                <c:pt idx="7">
                  <c:v>88.5</c:v>
                </c:pt>
                <c:pt idx="8">
                  <c:v>82</c:v>
                </c:pt>
                <c:pt idx="9">
                  <c:v>71</c:v>
                </c:pt>
                <c:pt idx="10">
                  <c:v>59</c:v>
                </c:pt>
                <c:pt idx="11">
                  <c:v>46.5</c:v>
                </c:pt>
                <c:pt idx="12">
                  <c:v>39</c:v>
                </c:pt>
                <c:pt idx="13">
                  <c:v>27.5</c:v>
                </c:pt>
                <c:pt idx="14">
                  <c:v>19.5</c:v>
                </c:pt>
                <c:pt idx="15">
                  <c:v>11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E-447B-9788-E696D06154D0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1'!$G$15:$W$15</c:f>
              <c:numCache>
                <c:formatCode>[$-1010000]d/m/yy;@</c:formatCode>
                <c:ptCount val="17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</c:numCache>
            </c:numRef>
          </c:cat>
          <c:val>
            <c:numRef>
              <c:f>'Sprint 1'!$G$89:$W$89</c:f>
              <c:numCache>
                <c:formatCode>General</c:formatCode>
                <c:ptCount val="17"/>
                <c:pt idx="0">
                  <c:v>158</c:v>
                </c:pt>
                <c:pt idx="1">
                  <c:v>148</c:v>
                </c:pt>
                <c:pt idx="2">
                  <c:v>138</c:v>
                </c:pt>
                <c:pt idx="3">
                  <c:v>127</c:v>
                </c:pt>
                <c:pt idx="4">
                  <c:v>119</c:v>
                </c:pt>
                <c:pt idx="5">
                  <c:v>109</c:v>
                </c:pt>
                <c:pt idx="6">
                  <c:v>101</c:v>
                </c:pt>
                <c:pt idx="7">
                  <c:v>88</c:v>
                </c:pt>
                <c:pt idx="8">
                  <c:v>80</c:v>
                </c:pt>
                <c:pt idx="9">
                  <c:v>71</c:v>
                </c:pt>
                <c:pt idx="10">
                  <c:v>59</c:v>
                </c:pt>
                <c:pt idx="11">
                  <c:v>47</c:v>
                </c:pt>
                <c:pt idx="12">
                  <c:v>39</c:v>
                </c:pt>
                <c:pt idx="13">
                  <c:v>30</c:v>
                </c:pt>
                <c:pt idx="14">
                  <c:v>18.5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E-447B-9788-E696D061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[$-1010000]d/m/yy;@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1052600</xdr:colOff>
      <xdr:row>90</xdr:row>
      <xdr:rowOff>189317</xdr:rowOff>
    </xdr:from>
    <xdr:to>
      <xdr:col>22</xdr:col>
      <xdr:colOff>28189</xdr:colOff>
      <xdr:row>110</xdr:row>
      <xdr:rowOff>103680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701365-40A1-4056-9783-C5326FA6C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9"/>
  <sheetViews>
    <sheetView tabSelected="1" zoomScale="113" zoomScaleNormal="85" workbookViewId="0">
      <selection activeCell="E10" sqref="E10"/>
    </sheetView>
  </sheetViews>
  <sheetFormatPr defaultColWidth="9.109375" defaultRowHeight="16.899999999999999" x14ac:dyDescent="0.3"/>
  <cols>
    <col min="1" max="1" width="16" style="1" customWidth="1"/>
    <col min="2" max="2" width="20.33203125" style="1" customWidth="1"/>
    <col min="3" max="3" width="69.109375" style="1" customWidth="1"/>
    <col min="4" max="4" width="21.88671875" style="1" customWidth="1"/>
    <col min="5" max="5" width="18.109375" style="32" bestFit="1" customWidth="1"/>
    <col min="6" max="6" width="6.6640625" style="1" customWidth="1"/>
    <col min="7" max="8" width="5" style="1" bestFit="1" customWidth="1"/>
    <col min="9" max="9" width="4.6640625" style="1" bestFit="1" customWidth="1"/>
    <col min="10" max="10" width="6.88671875" style="1" customWidth="1"/>
    <col min="11" max="11" width="7.21875" style="1" bestFit="1" customWidth="1"/>
    <col min="12" max="13" width="4.6640625" style="1" bestFit="1" customWidth="1"/>
    <col min="14" max="14" width="5" style="1" bestFit="1" customWidth="1"/>
    <col min="15" max="15" width="5.88671875" style="1" bestFit="1" customWidth="1"/>
    <col min="16" max="17" width="4.5546875" style="1" bestFit="1" customWidth="1"/>
    <col min="18" max="18" width="5.88671875" style="1" bestFit="1" customWidth="1"/>
    <col min="19" max="19" width="4.5546875" style="1" bestFit="1" customWidth="1"/>
    <col min="20" max="21" width="5.88671875" style="1" bestFit="1" customWidth="1"/>
    <col min="22" max="23" width="4.5546875" style="1" bestFit="1" customWidth="1"/>
    <col min="24" max="16384" width="9.109375" style="1"/>
  </cols>
  <sheetData>
    <row r="1" spans="1:23" ht="51.35" thickBot="1" x14ac:dyDescent="0.35">
      <c r="A1" s="41" t="s">
        <v>3</v>
      </c>
      <c r="B1" s="41"/>
      <c r="C1" s="20" t="s">
        <v>36</v>
      </c>
      <c r="D1" s="6"/>
      <c r="E1" s="29" t="s">
        <v>34</v>
      </c>
    </row>
    <row r="2" spans="1:23" ht="17.55" thickBot="1" x14ac:dyDescent="0.35">
      <c r="A2" s="41" t="s">
        <v>2</v>
      </c>
      <c r="B2" s="41"/>
      <c r="C2" s="2" t="s">
        <v>4</v>
      </c>
      <c r="D2" s="7"/>
      <c r="E2" s="30" t="s">
        <v>33</v>
      </c>
    </row>
    <row r="3" spans="1:23" ht="17.55" thickBot="1" x14ac:dyDescent="0.35">
      <c r="A3" s="41" t="s">
        <v>1</v>
      </c>
      <c r="B3" s="41"/>
      <c r="C3" s="21" t="s">
        <v>37</v>
      </c>
      <c r="D3" s="8"/>
      <c r="E3" s="31" t="s">
        <v>32</v>
      </c>
    </row>
    <row r="4" spans="1:23" ht="17.25" customHeight="1" thickBot="1" x14ac:dyDescent="0.35">
      <c r="A4" s="41" t="s">
        <v>0</v>
      </c>
      <c r="B4" s="41"/>
      <c r="C4" s="21">
        <v>46207</v>
      </c>
    </row>
    <row r="5" spans="1:23" ht="16.45" customHeight="1" thickBot="1" x14ac:dyDescent="0.35"/>
    <row r="6" spans="1:23" ht="17.55" thickBot="1" x14ac:dyDescent="0.35">
      <c r="B6" s="42" t="s">
        <v>5</v>
      </c>
      <c r="C6" s="42"/>
      <c r="D6" s="42"/>
    </row>
    <row r="7" spans="1:23" ht="17.55" thickBot="1" x14ac:dyDescent="0.35">
      <c r="B7" s="4" t="s">
        <v>6</v>
      </c>
      <c r="C7" s="4" t="s">
        <v>29</v>
      </c>
      <c r="D7" s="4" t="s">
        <v>11</v>
      </c>
      <c r="E7" s="28" t="s">
        <v>28</v>
      </c>
    </row>
    <row r="8" spans="1:23" ht="17.55" thickBot="1" x14ac:dyDescent="0.35">
      <c r="B8" s="5">
        <v>1</v>
      </c>
      <c r="C8" s="25" t="s">
        <v>39</v>
      </c>
      <c r="D8" s="60" cm="1">
        <f t="array" ref="D8">SUMPRODUCT(
 ISNUMBER(SEARCH("All Team",D16:D87))*(E16:E87/5)
 +
 ISNUMBER(SEARCH("Dũng",D16:D87))*
 E16:E87/(LEN(D16:D87)-LEN(SUBSTITUTE(D16:D87,",",""))+1)
)</f>
        <v>35.299999999999997</v>
      </c>
      <c r="E8" s="60" cm="1">
        <f t="array" ref="E8">SUMPRODUCT(
 ISNUMBER(SEARCH("All Team",D16:D87))*(F16:F87/5)
 +
 ISNUMBER(SEARCH("Dũng",D16:D87))*
 F16:F87/(LEN(D16:D87)-LEN(SUBSTITUTE(D16:D87,",",""))+1)
)</f>
        <v>34.299999999999997</v>
      </c>
    </row>
    <row r="9" spans="1:23" ht="17.55" thickBot="1" x14ac:dyDescent="0.35">
      <c r="B9" s="5">
        <v>2</v>
      </c>
      <c r="C9" s="25" t="s">
        <v>40</v>
      </c>
      <c r="D9" s="61" cm="1">
        <f t="array" ref="D9">SUMPRODUCT(
 ISNUMBER(SEARCH("All Team",D16:D87))*(E16:E87/5)
 +
 ISNUMBER(SEARCH("Hằng",D16:D87))*
 E16:E87/(LEN(D16:D87)-LEN(SUBSTITUTE(D16:D87,",",""))+1)
)</f>
        <v>32.633333333333326</v>
      </c>
      <c r="E9" s="61" cm="1">
        <f t="array" ref="E9">SUMPRODUCT(
 ISNUMBER(SEARCH("All Team",D16:D87))*(F16:F87/5)
 +
 ISNUMBER(SEARCH("Hằng",D16:D87))*
 F16:F87/(LEN(D16:D87)-LEN(SUBSTITUTE(D16:D87,",",""))+1)
)</f>
        <v>31.633333333333329</v>
      </c>
    </row>
    <row r="10" spans="1:23" ht="17.55" thickBot="1" x14ac:dyDescent="0.35">
      <c r="B10" s="5">
        <v>3</v>
      </c>
      <c r="C10" s="25" t="s">
        <v>41</v>
      </c>
      <c r="D10" s="61" cm="1">
        <f t="array" ref="D10">SUMPRODUCT(
 ISNUMBER(SEARCH("All Team",D16:D87))*(E16:E87/5)
 +
 ISNUMBER(SEARCH("Hoàng",D16:D87))*
 E16:E87/(LEN(D16:D87)-LEN(SUBSTITUTE(D16:D87,",",""))+1)
)</f>
        <v>33.633333333333333</v>
      </c>
      <c r="E10" s="61" cm="1">
        <f t="array" ref="E10">SUMPRODUCT(
 ISNUMBER(SEARCH("All Team",D16:D87))*(F16:F87/5)
 +
 ISNUMBER(SEARCH("Hoàng",D16:D87))*
 F16:F87/(LEN(D16:D87)-LEN(SUBSTITUTE(D16:D87,",",""))+1)
)</f>
        <v>33.133333333333333</v>
      </c>
    </row>
    <row r="11" spans="1:23" ht="17.55" thickBot="1" x14ac:dyDescent="0.35">
      <c r="B11" s="5">
        <v>4</v>
      </c>
      <c r="C11" s="25" t="s">
        <v>42</v>
      </c>
      <c r="D11" s="61" cm="1">
        <f t="array" ref="D11">SUMPRODUCT(
 ISNUMBER(SEARCH("All Team",D16:D87))*(E16:E87/5)
 +
 ISNUMBER(SEARCH("Nguyên",D16:D87))*
 E16:E87/(LEN(D16:D87)-LEN(SUBSTITUTE(D16:D87,",",""))+1)
)</f>
        <v>35.299999999999997</v>
      </c>
      <c r="E11" s="61" cm="1">
        <f t="array" ref="E11">SUMPRODUCT(
 ISNUMBER(SEARCH("All Team",D16:D87))*(F16:F87/5)
 +
 ISNUMBER(SEARCH("Nguyên",D16:D87))*
 F16:F87/(LEN(D16:D87)-LEN(SUBSTITUTE(D16:D87,",",""))+1)
)</f>
        <v>33.299999999999997</v>
      </c>
    </row>
    <row r="12" spans="1:23" ht="17.55" thickBot="1" x14ac:dyDescent="0.35">
      <c r="B12" s="5">
        <v>5</v>
      </c>
      <c r="C12" s="24" t="s">
        <v>38</v>
      </c>
      <c r="D12" s="61" cm="1">
        <f t="array" ref="D12">SUMPRODUCT(
 ISNUMBER(SEARCH("All Team",D16:D87))*(E16:E87/5)
 +
 ISNUMBER(SEARCH("Nhi",D16:D87))*
 E16:E87/(LEN(D16:D87)-LEN(SUBSTITUTE(D16:D87,",",""))+1)
)</f>
        <v>34.633333333333333</v>
      </c>
      <c r="E12" s="61" cm="1">
        <f t="array" ref="E12">SUMPRODUCT(
 ISNUMBER(SEARCH("All Team",D16:D87))*(F16:F87/5)
 +
 ISNUMBER(SEARCH("Nhi",D16:D87))*
 F16:F87/(LEN(D16:D87)-LEN(SUBSTITUTE(D16:D87,",",""))+1)
)</f>
        <v>33.633333333333333</v>
      </c>
    </row>
    <row r="13" spans="1:23" ht="17.55" thickBot="1" x14ac:dyDescent="0.35">
      <c r="B13" s="42" t="s">
        <v>12</v>
      </c>
      <c r="C13" s="42"/>
      <c r="D13" s="3">
        <f>SUM(D8:D12)</f>
        <v>171.5</v>
      </c>
      <c r="E13" s="33">
        <f>SUM(E8:E12)</f>
        <v>166</v>
      </c>
    </row>
    <row r="15" spans="1:23" ht="62.3" customHeight="1" x14ac:dyDescent="0.3">
      <c r="A15" s="9" t="s">
        <v>7</v>
      </c>
      <c r="B15" s="9" t="s">
        <v>8</v>
      </c>
      <c r="C15" s="23" t="s">
        <v>9</v>
      </c>
      <c r="D15" s="23" t="s">
        <v>10</v>
      </c>
      <c r="E15" s="34" t="s">
        <v>11</v>
      </c>
      <c r="F15" s="58" t="s">
        <v>28</v>
      </c>
      <c r="G15" s="59">
        <v>46103</v>
      </c>
      <c r="H15" s="59">
        <v>46104</v>
      </c>
      <c r="I15" s="59">
        <v>46105</v>
      </c>
      <c r="J15" s="59">
        <v>46106</v>
      </c>
      <c r="K15" s="59">
        <v>46107</v>
      </c>
      <c r="L15" s="59">
        <v>46108</v>
      </c>
      <c r="M15" s="59">
        <v>46109</v>
      </c>
      <c r="N15" s="59">
        <v>46110</v>
      </c>
      <c r="O15" s="59">
        <v>46111</v>
      </c>
      <c r="P15" s="59">
        <v>46112</v>
      </c>
      <c r="Q15" s="59">
        <v>46113</v>
      </c>
      <c r="R15" s="59">
        <v>46114</v>
      </c>
      <c r="S15" s="59">
        <v>46115</v>
      </c>
      <c r="T15" s="59">
        <v>46116</v>
      </c>
      <c r="U15" s="59">
        <v>46117</v>
      </c>
      <c r="V15" s="59">
        <v>46118</v>
      </c>
      <c r="W15" s="59">
        <v>46119</v>
      </c>
    </row>
    <row r="16" spans="1:23" x14ac:dyDescent="0.3">
      <c r="A16" s="40" t="s">
        <v>4</v>
      </c>
      <c r="B16" s="43" t="s">
        <v>13</v>
      </c>
      <c r="C16" s="43"/>
      <c r="D16" s="37" t="s">
        <v>67</v>
      </c>
      <c r="E16" s="36">
        <v>6</v>
      </c>
      <c r="F16" s="36">
        <v>6</v>
      </c>
      <c r="G16" s="5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</row>
    <row r="17" spans="1:23" x14ac:dyDescent="0.3">
      <c r="A17" s="40"/>
      <c r="B17" s="43" t="s">
        <v>14</v>
      </c>
      <c r="C17" s="43"/>
      <c r="D17" s="36" t="s">
        <v>73</v>
      </c>
      <c r="E17" s="36">
        <v>7</v>
      </c>
      <c r="F17" s="36">
        <v>7</v>
      </c>
      <c r="G17" s="36">
        <v>5</v>
      </c>
      <c r="H17" s="5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</row>
    <row r="18" spans="1:23" x14ac:dyDescent="0.3">
      <c r="A18" s="40"/>
      <c r="B18" s="43" t="s">
        <v>15</v>
      </c>
      <c r="C18" s="43"/>
      <c r="D18" s="37" t="s">
        <v>72</v>
      </c>
      <c r="E18" s="36">
        <f>F18+I19</f>
        <v>9</v>
      </c>
      <c r="F18" s="36">
        <v>7</v>
      </c>
      <c r="G18" s="36">
        <v>7</v>
      </c>
      <c r="H18" s="36">
        <v>2</v>
      </c>
      <c r="I18" s="5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</row>
    <row r="19" spans="1:23" x14ac:dyDescent="0.3">
      <c r="A19" s="40"/>
      <c r="B19" s="22"/>
      <c r="C19" s="22"/>
      <c r="D19" s="37"/>
      <c r="E19" s="36"/>
      <c r="F19" s="36"/>
      <c r="G19" s="36"/>
      <c r="H19" s="12"/>
      <c r="I19" s="53">
        <v>2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3">
      <c r="A20" s="40"/>
      <c r="B20" s="40" t="s">
        <v>16</v>
      </c>
      <c r="C20" s="26" t="s">
        <v>43</v>
      </c>
      <c r="D20" s="36" t="s">
        <v>68</v>
      </c>
      <c r="E20" s="36">
        <v>2</v>
      </c>
      <c r="F20" s="36">
        <v>2</v>
      </c>
      <c r="G20" s="36">
        <v>2</v>
      </c>
      <c r="H20" s="36">
        <v>2</v>
      </c>
      <c r="I20" s="12">
        <v>1</v>
      </c>
      <c r="J20" s="5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</row>
    <row r="21" spans="1:23" x14ac:dyDescent="0.3">
      <c r="A21" s="40"/>
      <c r="B21" s="40"/>
      <c r="C21" s="26" t="s">
        <v>44</v>
      </c>
      <c r="D21" s="36" t="s">
        <v>68</v>
      </c>
      <c r="E21" s="36">
        <v>2</v>
      </c>
      <c r="F21" s="36">
        <v>2</v>
      </c>
      <c r="G21" s="36">
        <v>2</v>
      </c>
      <c r="H21" s="36">
        <v>2</v>
      </c>
      <c r="I21" s="12">
        <v>1</v>
      </c>
      <c r="J21" s="5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</row>
    <row r="22" spans="1:23" x14ac:dyDescent="0.3">
      <c r="A22" s="40"/>
      <c r="B22" s="40"/>
      <c r="C22" s="26" t="s">
        <v>45</v>
      </c>
      <c r="D22" s="36" t="s">
        <v>35</v>
      </c>
      <c r="E22" s="36">
        <v>1</v>
      </c>
      <c r="F22" s="36">
        <v>1</v>
      </c>
      <c r="G22" s="36">
        <v>1</v>
      </c>
      <c r="H22" s="36">
        <v>1</v>
      </c>
      <c r="I22" s="12">
        <v>1</v>
      </c>
      <c r="J22" s="5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</row>
    <row r="23" spans="1:23" x14ac:dyDescent="0.3">
      <c r="A23" s="40"/>
      <c r="B23" s="40"/>
      <c r="C23" s="26" t="s">
        <v>46</v>
      </c>
      <c r="D23" s="36" t="s">
        <v>35</v>
      </c>
      <c r="E23" s="36">
        <v>2</v>
      </c>
      <c r="F23" s="36">
        <v>2</v>
      </c>
      <c r="G23" s="36">
        <v>2</v>
      </c>
      <c r="H23" s="36">
        <v>2</v>
      </c>
      <c r="I23" s="12">
        <v>1</v>
      </c>
      <c r="J23" s="5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</row>
    <row r="24" spans="1:23" x14ac:dyDescent="0.3">
      <c r="A24" s="40"/>
      <c r="B24" s="40"/>
      <c r="C24" s="26" t="s">
        <v>47</v>
      </c>
      <c r="D24" s="36" t="s">
        <v>69</v>
      </c>
      <c r="E24" s="37">
        <v>2</v>
      </c>
      <c r="F24" s="37">
        <v>2</v>
      </c>
      <c r="G24" s="37">
        <v>2</v>
      </c>
      <c r="H24" s="37">
        <v>2</v>
      </c>
      <c r="I24" s="12">
        <v>1</v>
      </c>
      <c r="J24" s="5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</row>
    <row r="25" spans="1:23" x14ac:dyDescent="0.3">
      <c r="A25" s="40"/>
      <c r="B25" s="40"/>
      <c r="C25" s="26" t="s">
        <v>48</v>
      </c>
      <c r="D25" s="36" t="s">
        <v>70</v>
      </c>
      <c r="E25" s="37">
        <v>2</v>
      </c>
      <c r="F25" s="37">
        <v>2</v>
      </c>
      <c r="G25" s="37">
        <v>2</v>
      </c>
      <c r="H25" s="37">
        <v>2</v>
      </c>
      <c r="I25" s="12">
        <v>1</v>
      </c>
      <c r="J25" s="5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</row>
    <row r="26" spans="1:23" x14ac:dyDescent="0.3">
      <c r="A26" s="40"/>
      <c r="B26" s="40"/>
      <c r="C26" s="26" t="s">
        <v>49</v>
      </c>
      <c r="D26" s="36" t="s">
        <v>71</v>
      </c>
      <c r="E26" s="37">
        <v>3</v>
      </c>
      <c r="F26" s="37">
        <v>2</v>
      </c>
      <c r="G26" s="37">
        <v>2</v>
      </c>
      <c r="H26" s="37">
        <v>2</v>
      </c>
      <c r="I26" s="12">
        <v>2</v>
      </c>
      <c r="J26" s="5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</row>
    <row r="27" spans="1:23" x14ac:dyDescent="0.3">
      <c r="A27" s="40"/>
      <c r="B27" s="40"/>
      <c r="C27" s="26"/>
      <c r="D27" s="36"/>
      <c r="E27" s="37"/>
      <c r="F27" s="37"/>
      <c r="G27" s="37"/>
      <c r="H27" s="37"/>
      <c r="I27" s="12"/>
      <c r="J27" s="53">
        <v>1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x14ac:dyDescent="0.3">
      <c r="A28" s="40"/>
      <c r="B28" s="40"/>
      <c r="C28" s="27" t="s">
        <v>50</v>
      </c>
      <c r="D28" s="37" t="s">
        <v>67</v>
      </c>
      <c r="E28" s="37">
        <v>6</v>
      </c>
      <c r="F28" s="37">
        <v>6</v>
      </c>
      <c r="G28" s="37">
        <v>6</v>
      </c>
      <c r="H28" s="37">
        <v>6</v>
      </c>
      <c r="I28" s="37">
        <v>3</v>
      </c>
      <c r="J28" s="5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</row>
    <row r="29" spans="1:23" x14ac:dyDescent="0.3">
      <c r="A29" s="40"/>
      <c r="B29" s="40" t="s">
        <v>17</v>
      </c>
      <c r="C29" s="26" t="s">
        <v>43</v>
      </c>
      <c r="D29" s="36" t="s">
        <v>69</v>
      </c>
      <c r="E29" s="36">
        <v>2</v>
      </c>
      <c r="F29" s="36">
        <v>2</v>
      </c>
      <c r="G29" s="36">
        <v>2</v>
      </c>
      <c r="H29" s="36">
        <v>2</v>
      </c>
      <c r="I29" s="36">
        <v>2</v>
      </c>
      <c r="J29" s="36">
        <v>2</v>
      </c>
      <c r="K29" s="36">
        <v>1</v>
      </c>
      <c r="L29" s="5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</row>
    <row r="30" spans="1:23" x14ac:dyDescent="0.3">
      <c r="A30" s="40"/>
      <c r="B30" s="40"/>
      <c r="C30" s="26" t="s">
        <v>44</v>
      </c>
      <c r="D30" s="36" t="s">
        <v>69</v>
      </c>
      <c r="E30" s="36">
        <v>2</v>
      </c>
      <c r="F30" s="36">
        <v>2</v>
      </c>
      <c r="G30" s="36">
        <v>2</v>
      </c>
      <c r="H30" s="36">
        <v>2</v>
      </c>
      <c r="I30" s="36">
        <v>2</v>
      </c>
      <c r="J30" s="36">
        <v>2</v>
      </c>
      <c r="K30" s="36">
        <v>1</v>
      </c>
      <c r="L30" s="5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</row>
    <row r="31" spans="1:23" x14ac:dyDescent="0.3">
      <c r="A31" s="40"/>
      <c r="B31" s="40"/>
      <c r="C31" s="26" t="s">
        <v>45</v>
      </c>
      <c r="D31" s="36" t="s">
        <v>71</v>
      </c>
      <c r="E31" s="36">
        <v>1.5</v>
      </c>
      <c r="F31" s="36">
        <v>2</v>
      </c>
      <c r="G31" s="36">
        <v>2</v>
      </c>
      <c r="H31" s="36">
        <v>2</v>
      </c>
      <c r="I31" s="36">
        <v>2</v>
      </c>
      <c r="J31" s="36">
        <v>2</v>
      </c>
      <c r="K31" s="5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 x14ac:dyDescent="0.3">
      <c r="A32" s="40"/>
      <c r="B32" s="40"/>
      <c r="C32" s="26"/>
      <c r="D32" s="36"/>
      <c r="E32" s="36"/>
      <c r="F32" s="36"/>
      <c r="G32" s="36"/>
      <c r="H32" s="36"/>
      <c r="I32" s="36"/>
      <c r="J32" s="12"/>
      <c r="K32" s="54">
        <v>-0.5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x14ac:dyDescent="0.3">
      <c r="A33" s="40"/>
      <c r="B33" s="40"/>
      <c r="C33" s="26" t="s">
        <v>46</v>
      </c>
      <c r="D33" s="36" t="s">
        <v>71</v>
      </c>
      <c r="E33" s="36">
        <v>2</v>
      </c>
      <c r="F33" s="36">
        <v>2</v>
      </c>
      <c r="G33" s="36">
        <v>2</v>
      </c>
      <c r="H33" s="36">
        <v>2</v>
      </c>
      <c r="I33" s="36">
        <v>2</v>
      </c>
      <c r="J33" s="36">
        <v>2</v>
      </c>
      <c r="K33" s="36">
        <v>1</v>
      </c>
      <c r="L33" s="5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</row>
    <row r="34" spans="1:23" x14ac:dyDescent="0.3">
      <c r="A34" s="40"/>
      <c r="B34" s="40"/>
      <c r="C34" s="26" t="s">
        <v>47</v>
      </c>
      <c r="D34" s="36" t="s">
        <v>70</v>
      </c>
      <c r="E34" s="37">
        <v>1</v>
      </c>
      <c r="F34" s="37">
        <v>1</v>
      </c>
      <c r="G34" s="37">
        <v>1</v>
      </c>
      <c r="H34" s="37">
        <v>1</v>
      </c>
      <c r="I34" s="37">
        <v>1</v>
      </c>
      <c r="J34" s="37">
        <v>1</v>
      </c>
      <c r="K34" s="37">
        <v>1</v>
      </c>
      <c r="L34" s="5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</row>
    <row r="35" spans="1:23" x14ac:dyDescent="0.3">
      <c r="A35" s="40"/>
      <c r="B35" s="40"/>
      <c r="C35" s="26" t="s">
        <v>48</v>
      </c>
      <c r="D35" s="36" t="s">
        <v>68</v>
      </c>
      <c r="E35" s="37">
        <v>1</v>
      </c>
      <c r="F35" s="37">
        <v>1</v>
      </c>
      <c r="G35" s="37">
        <v>1</v>
      </c>
      <c r="H35" s="37">
        <v>1</v>
      </c>
      <c r="I35" s="37">
        <v>1</v>
      </c>
      <c r="J35" s="37">
        <v>1</v>
      </c>
      <c r="K35" s="37">
        <v>1</v>
      </c>
      <c r="L35" s="5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</row>
    <row r="36" spans="1:23" x14ac:dyDescent="0.3">
      <c r="A36" s="40"/>
      <c r="B36" s="40"/>
      <c r="C36" s="26" t="s">
        <v>49</v>
      </c>
      <c r="D36" s="36" t="s">
        <v>35</v>
      </c>
      <c r="E36" s="37">
        <v>3</v>
      </c>
      <c r="F36" s="37">
        <v>2</v>
      </c>
      <c r="G36" s="37">
        <v>2</v>
      </c>
      <c r="H36" s="12">
        <v>2</v>
      </c>
      <c r="I36" s="12">
        <v>2</v>
      </c>
      <c r="J36" s="12">
        <v>2</v>
      </c>
      <c r="K36" s="12">
        <v>1</v>
      </c>
      <c r="L36" s="5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</row>
    <row r="37" spans="1:23" x14ac:dyDescent="0.3">
      <c r="A37" s="40"/>
      <c r="B37" s="40"/>
      <c r="C37" s="26"/>
      <c r="D37" s="36"/>
      <c r="E37" s="37"/>
      <c r="F37" s="37"/>
      <c r="G37" s="37"/>
      <c r="H37" s="12"/>
      <c r="I37" s="12"/>
      <c r="J37" s="12"/>
      <c r="K37" s="12"/>
      <c r="L37" s="53">
        <v>1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3">
      <c r="A38" s="40"/>
      <c r="B38" s="40"/>
      <c r="C38" s="27" t="s">
        <v>51</v>
      </c>
      <c r="D38" s="37" t="s">
        <v>67</v>
      </c>
      <c r="E38" s="36">
        <v>6</v>
      </c>
      <c r="F38" s="36">
        <v>6</v>
      </c>
      <c r="G38" s="36">
        <v>6</v>
      </c>
      <c r="H38" s="36">
        <v>6</v>
      </c>
      <c r="I38" s="36">
        <v>6</v>
      </c>
      <c r="J38" s="36">
        <v>6</v>
      </c>
      <c r="K38" s="36">
        <v>4</v>
      </c>
      <c r="L38" s="5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</row>
    <row r="39" spans="1:23" x14ac:dyDescent="0.3">
      <c r="A39" s="40"/>
      <c r="B39" s="40" t="s">
        <v>18</v>
      </c>
      <c r="C39" s="35" t="s">
        <v>52</v>
      </c>
      <c r="D39" s="36" t="s">
        <v>68</v>
      </c>
      <c r="E39" s="37">
        <v>5</v>
      </c>
      <c r="F39" s="37">
        <v>4</v>
      </c>
      <c r="G39" s="37">
        <v>4</v>
      </c>
      <c r="H39" s="37">
        <v>4</v>
      </c>
      <c r="I39" s="37">
        <v>4</v>
      </c>
      <c r="J39" s="37">
        <v>4</v>
      </c>
      <c r="K39" s="37">
        <v>4</v>
      </c>
      <c r="L39" s="37">
        <v>4</v>
      </c>
      <c r="M39" s="37">
        <v>3</v>
      </c>
      <c r="N39" s="5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</row>
    <row r="40" spans="1:23" x14ac:dyDescent="0.3">
      <c r="A40" s="40"/>
      <c r="B40" s="40"/>
      <c r="C40" s="35"/>
      <c r="D40" s="36"/>
      <c r="E40" s="37"/>
      <c r="F40" s="37"/>
      <c r="G40" s="37"/>
      <c r="H40" s="37"/>
      <c r="I40" s="37"/>
      <c r="J40" s="37"/>
      <c r="K40" s="37"/>
      <c r="L40" s="37"/>
      <c r="M40" s="37"/>
      <c r="N40" s="53">
        <v>1</v>
      </c>
      <c r="O40" s="12"/>
      <c r="P40" s="12"/>
      <c r="Q40" s="12"/>
      <c r="R40" s="12"/>
      <c r="S40" s="12"/>
      <c r="T40" s="12"/>
      <c r="U40" s="12"/>
      <c r="V40" s="12"/>
      <c r="W40" s="12"/>
    </row>
    <row r="41" spans="1:23" x14ac:dyDescent="0.3">
      <c r="A41" s="40"/>
      <c r="B41" s="40"/>
      <c r="C41" s="35" t="s">
        <v>53</v>
      </c>
      <c r="D41" s="36" t="s">
        <v>68</v>
      </c>
      <c r="E41" s="37">
        <v>4</v>
      </c>
      <c r="F41" s="37">
        <v>4</v>
      </c>
      <c r="G41" s="37">
        <v>4</v>
      </c>
      <c r="H41" s="37">
        <v>4</v>
      </c>
      <c r="I41" s="37">
        <v>4</v>
      </c>
      <c r="J41" s="37">
        <v>4</v>
      </c>
      <c r="K41" s="37">
        <v>4</v>
      </c>
      <c r="L41" s="37">
        <v>4</v>
      </c>
      <c r="M41" s="37">
        <v>3</v>
      </c>
      <c r="N41" s="5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</row>
    <row r="42" spans="1:23" x14ac:dyDescent="0.3">
      <c r="A42" s="40"/>
      <c r="B42" s="40"/>
      <c r="C42" s="35" t="s">
        <v>54</v>
      </c>
      <c r="D42" s="36" t="s">
        <v>35</v>
      </c>
      <c r="E42" s="37">
        <v>2.5</v>
      </c>
      <c r="F42" s="37">
        <v>3</v>
      </c>
      <c r="G42" s="37">
        <v>3</v>
      </c>
      <c r="H42" s="37">
        <v>3</v>
      </c>
      <c r="I42" s="37">
        <v>3</v>
      </c>
      <c r="J42" s="37">
        <v>3</v>
      </c>
      <c r="K42" s="37">
        <v>3</v>
      </c>
      <c r="L42" s="37">
        <v>3</v>
      </c>
      <c r="M42" s="37">
        <v>3</v>
      </c>
      <c r="N42" s="5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</row>
    <row r="43" spans="1:23" x14ac:dyDescent="0.3">
      <c r="A43" s="40"/>
      <c r="B43" s="40"/>
      <c r="C43" s="35"/>
      <c r="D43" s="36"/>
      <c r="E43" s="37"/>
      <c r="F43" s="37"/>
      <c r="G43" s="37"/>
      <c r="H43" s="37"/>
      <c r="I43" s="37"/>
      <c r="J43" s="37"/>
      <c r="K43" s="37"/>
      <c r="L43" s="37"/>
      <c r="M43" s="37"/>
      <c r="N43" s="54">
        <v>-0.5</v>
      </c>
      <c r="P43" s="12"/>
      <c r="Q43" s="12"/>
      <c r="R43" s="12"/>
      <c r="S43" s="12"/>
      <c r="T43" s="12"/>
      <c r="U43" s="12"/>
      <c r="V43" s="12"/>
      <c r="W43" s="12"/>
    </row>
    <row r="44" spans="1:23" x14ac:dyDescent="0.3">
      <c r="A44" s="40"/>
      <c r="B44" s="40"/>
      <c r="C44" s="26" t="s">
        <v>55</v>
      </c>
      <c r="D44" s="36" t="s">
        <v>35</v>
      </c>
      <c r="E44" s="37">
        <v>4</v>
      </c>
      <c r="F44" s="37">
        <v>4</v>
      </c>
      <c r="G44" s="37">
        <v>4</v>
      </c>
      <c r="H44" s="37">
        <v>4</v>
      </c>
      <c r="I44" s="37">
        <v>4</v>
      </c>
      <c r="J44" s="37">
        <v>4</v>
      </c>
      <c r="K44" s="37">
        <v>4</v>
      </c>
      <c r="L44" s="37">
        <v>4</v>
      </c>
      <c r="M44" s="37">
        <v>3</v>
      </c>
      <c r="N44" s="37">
        <v>2</v>
      </c>
      <c r="O44" s="5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</row>
    <row r="45" spans="1:23" x14ac:dyDescent="0.3">
      <c r="A45" s="40"/>
      <c r="B45" s="40"/>
      <c r="C45" s="35" t="s">
        <v>56</v>
      </c>
      <c r="D45" s="36" t="s">
        <v>69</v>
      </c>
      <c r="E45" s="37">
        <v>4</v>
      </c>
      <c r="F45" s="37">
        <v>4</v>
      </c>
      <c r="G45" s="37">
        <v>4</v>
      </c>
      <c r="H45" s="37">
        <v>4</v>
      </c>
      <c r="I45" s="37">
        <v>4</v>
      </c>
      <c r="J45" s="37">
        <v>4</v>
      </c>
      <c r="K45" s="37">
        <v>4</v>
      </c>
      <c r="L45" s="37">
        <v>4</v>
      </c>
      <c r="M45" s="37">
        <v>3</v>
      </c>
      <c r="N45" s="37">
        <v>2</v>
      </c>
      <c r="O45" s="5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</row>
    <row r="46" spans="1:23" x14ac:dyDescent="0.3">
      <c r="A46" s="40"/>
      <c r="B46" s="40"/>
      <c r="C46" s="35" t="s">
        <v>57</v>
      </c>
      <c r="D46" s="36" t="s">
        <v>70</v>
      </c>
      <c r="E46" s="37">
        <v>6</v>
      </c>
      <c r="F46" s="37">
        <v>5</v>
      </c>
      <c r="G46" s="37">
        <v>5</v>
      </c>
      <c r="H46" s="37">
        <v>5</v>
      </c>
      <c r="I46" s="37">
        <v>5</v>
      </c>
      <c r="J46" s="37">
        <v>5</v>
      </c>
      <c r="K46" s="37">
        <v>5</v>
      </c>
      <c r="L46" s="37">
        <v>5</v>
      </c>
      <c r="M46" s="37">
        <v>3</v>
      </c>
      <c r="N46" s="37">
        <v>2</v>
      </c>
      <c r="O46" s="5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</row>
    <row r="47" spans="1:23" x14ac:dyDescent="0.3">
      <c r="A47" s="40"/>
      <c r="B47" s="40"/>
      <c r="C47" s="35"/>
      <c r="D47" s="36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53">
        <v>1</v>
      </c>
      <c r="P47" s="12"/>
      <c r="Q47" s="12"/>
      <c r="R47" s="12"/>
      <c r="S47" s="12"/>
      <c r="T47" s="12"/>
      <c r="U47" s="12"/>
      <c r="V47" s="12"/>
      <c r="W47" s="12"/>
    </row>
    <row r="48" spans="1:23" ht="33.85" x14ac:dyDescent="0.3">
      <c r="A48" s="40"/>
      <c r="B48" s="40"/>
      <c r="C48" s="35" t="s">
        <v>58</v>
      </c>
      <c r="D48" s="36" t="s">
        <v>71</v>
      </c>
      <c r="E48" s="37">
        <v>5</v>
      </c>
      <c r="F48" s="37">
        <v>4</v>
      </c>
      <c r="G48" s="37">
        <v>4</v>
      </c>
      <c r="H48" s="37">
        <v>4</v>
      </c>
      <c r="I48" s="37">
        <v>4</v>
      </c>
      <c r="J48" s="37">
        <v>4</v>
      </c>
      <c r="K48" s="37">
        <v>4</v>
      </c>
      <c r="L48" s="37">
        <v>4</v>
      </c>
      <c r="M48" s="37">
        <v>2</v>
      </c>
      <c r="N48" s="37">
        <v>1</v>
      </c>
      <c r="O48" s="5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</row>
    <row r="49" spans="1:23" x14ac:dyDescent="0.3">
      <c r="A49" s="40"/>
      <c r="B49" s="40"/>
      <c r="C49" s="35"/>
      <c r="D49" s="36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53">
        <v>1</v>
      </c>
      <c r="P49" s="12"/>
      <c r="Q49" s="12"/>
      <c r="R49" s="12"/>
      <c r="S49" s="12"/>
      <c r="T49" s="12"/>
      <c r="U49" s="12"/>
      <c r="V49" s="12"/>
      <c r="W49" s="12"/>
    </row>
    <row r="50" spans="1:23" x14ac:dyDescent="0.3">
      <c r="A50" s="40"/>
      <c r="B50" s="40"/>
      <c r="C50" s="35" t="s">
        <v>59</v>
      </c>
      <c r="D50" s="36" t="s">
        <v>68</v>
      </c>
      <c r="E50" s="37">
        <v>3</v>
      </c>
      <c r="F50" s="37">
        <v>3</v>
      </c>
      <c r="G50" s="37">
        <v>3</v>
      </c>
      <c r="H50" s="37">
        <v>3</v>
      </c>
      <c r="I50" s="37">
        <v>3</v>
      </c>
      <c r="J50" s="37">
        <v>3</v>
      </c>
      <c r="K50" s="37">
        <v>3</v>
      </c>
      <c r="L50" s="37">
        <v>3</v>
      </c>
      <c r="M50" s="37">
        <v>3</v>
      </c>
      <c r="N50" s="37">
        <v>3</v>
      </c>
      <c r="O50" s="37">
        <v>3</v>
      </c>
      <c r="P50" s="37">
        <v>2</v>
      </c>
      <c r="Q50" s="37">
        <v>0.5</v>
      </c>
      <c r="R50" s="52">
        <v>0</v>
      </c>
      <c r="S50" s="12"/>
      <c r="T50" s="12"/>
      <c r="U50" s="12"/>
      <c r="V50" s="12"/>
      <c r="W50" s="12"/>
    </row>
    <row r="51" spans="1:23" x14ac:dyDescent="0.3">
      <c r="A51" s="40"/>
      <c r="B51" s="40"/>
      <c r="C51" s="35" t="s">
        <v>60</v>
      </c>
      <c r="D51" s="36" t="s">
        <v>68</v>
      </c>
      <c r="E51" s="37">
        <v>3</v>
      </c>
      <c r="F51" s="37">
        <v>3</v>
      </c>
      <c r="G51" s="37">
        <v>3</v>
      </c>
      <c r="H51" s="37">
        <v>3</v>
      </c>
      <c r="I51" s="37">
        <v>3</v>
      </c>
      <c r="J51" s="37">
        <v>3</v>
      </c>
      <c r="K51" s="37">
        <v>3</v>
      </c>
      <c r="L51" s="37">
        <v>3</v>
      </c>
      <c r="M51" s="37">
        <v>3</v>
      </c>
      <c r="N51" s="37">
        <v>3</v>
      </c>
      <c r="O51" s="37">
        <v>3</v>
      </c>
      <c r="P51" s="37">
        <v>2</v>
      </c>
      <c r="Q51" s="37">
        <v>0.5</v>
      </c>
      <c r="R51" s="5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</row>
    <row r="52" spans="1:23" x14ac:dyDescent="0.3">
      <c r="A52" s="40"/>
      <c r="B52" s="40"/>
      <c r="C52" s="35" t="s">
        <v>61</v>
      </c>
      <c r="D52" s="36" t="s">
        <v>35</v>
      </c>
      <c r="E52" s="37">
        <v>2.5</v>
      </c>
      <c r="F52" s="37">
        <v>3</v>
      </c>
      <c r="G52" s="37">
        <v>3</v>
      </c>
      <c r="H52" s="37">
        <v>3</v>
      </c>
      <c r="I52" s="37">
        <v>3</v>
      </c>
      <c r="J52" s="37">
        <v>3</v>
      </c>
      <c r="K52" s="37">
        <v>3</v>
      </c>
      <c r="L52" s="37">
        <v>3</v>
      </c>
      <c r="M52" s="37">
        <v>3</v>
      </c>
      <c r="N52" s="37">
        <v>3</v>
      </c>
      <c r="O52" s="37">
        <v>2</v>
      </c>
      <c r="P52" s="37">
        <v>2</v>
      </c>
      <c r="Q52" s="37">
        <v>1</v>
      </c>
      <c r="R52" s="5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</row>
    <row r="53" spans="1:23" x14ac:dyDescent="0.3">
      <c r="A53" s="40"/>
      <c r="B53" s="40"/>
      <c r="C53" s="35"/>
      <c r="D53" s="36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54">
        <v>-0.5</v>
      </c>
      <c r="S53" s="12"/>
      <c r="T53" s="12"/>
      <c r="U53" s="12"/>
      <c r="V53" s="12"/>
      <c r="W53" s="12"/>
    </row>
    <row r="54" spans="1:23" x14ac:dyDescent="0.3">
      <c r="A54" s="40"/>
      <c r="B54" s="40"/>
      <c r="C54" s="26" t="s">
        <v>62</v>
      </c>
      <c r="D54" s="36" t="s">
        <v>35</v>
      </c>
      <c r="E54" s="37">
        <v>3</v>
      </c>
      <c r="F54" s="37">
        <v>3</v>
      </c>
      <c r="G54" s="37">
        <v>3</v>
      </c>
      <c r="H54" s="37">
        <v>3</v>
      </c>
      <c r="I54" s="37">
        <v>3</v>
      </c>
      <c r="J54" s="37">
        <v>3</v>
      </c>
      <c r="K54" s="37">
        <v>3</v>
      </c>
      <c r="L54" s="37">
        <v>3</v>
      </c>
      <c r="M54" s="37">
        <v>3</v>
      </c>
      <c r="N54" s="37">
        <v>3</v>
      </c>
      <c r="O54" s="37">
        <v>3</v>
      </c>
      <c r="P54" s="37">
        <v>2</v>
      </c>
      <c r="Q54" s="37">
        <v>1</v>
      </c>
      <c r="R54" s="5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</row>
    <row r="55" spans="1:23" x14ac:dyDescent="0.3">
      <c r="A55" s="40"/>
      <c r="B55" s="40"/>
      <c r="C55" s="35" t="s">
        <v>63</v>
      </c>
      <c r="D55" s="36" t="s">
        <v>69</v>
      </c>
      <c r="E55" s="37">
        <v>3</v>
      </c>
      <c r="F55" s="37">
        <v>3</v>
      </c>
      <c r="G55" s="37">
        <v>3</v>
      </c>
      <c r="H55" s="37">
        <v>3</v>
      </c>
      <c r="I55" s="37">
        <v>3</v>
      </c>
      <c r="J55" s="37">
        <v>3</v>
      </c>
      <c r="K55" s="37">
        <v>3</v>
      </c>
      <c r="L55" s="37">
        <v>3</v>
      </c>
      <c r="M55" s="37">
        <v>3</v>
      </c>
      <c r="N55" s="37">
        <v>3</v>
      </c>
      <c r="O55" s="37">
        <v>3</v>
      </c>
      <c r="P55" s="37">
        <v>2</v>
      </c>
      <c r="Q55" s="37">
        <v>1</v>
      </c>
      <c r="R55" s="5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</row>
    <row r="56" spans="1:23" x14ac:dyDescent="0.3">
      <c r="A56" s="40"/>
      <c r="B56" s="40"/>
      <c r="C56" s="35" t="s">
        <v>64</v>
      </c>
      <c r="D56" s="36" t="s">
        <v>70</v>
      </c>
      <c r="E56" s="37">
        <v>3</v>
      </c>
      <c r="F56" s="37">
        <v>3</v>
      </c>
      <c r="G56" s="37">
        <v>3</v>
      </c>
      <c r="H56" s="37">
        <v>3</v>
      </c>
      <c r="I56" s="37">
        <v>3</v>
      </c>
      <c r="J56" s="37">
        <v>3</v>
      </c>
      <c r="K56" s="37">
        <v>3</v>
      </c>
      <c r="L56" s="37">
        <v>3</v>
      </c>
      <c r="M56" s="37">
        <v>3</v>
      </c>
      <c r="N56" s="37">
        <v>3</v>
      </c>
      <c r="O56" s="37">
        <v>3</v>
      </c>
      <c r="P56" s="37">
        <v>2</v>
      </c>
      <c r="Q56" s="37">
        <v>1</v>
      </c>
      <c r="R56" s="5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</row>
    <row r="57" spans="1:23" ht="33.85" x14ac:dyDescent="0.3">
      <c r="A57" s="40"/>
      <c r="B57" s="40"/>
      <c r="C57" s="35" t="s">
        <v>65</v>
      </c>
      <c r="D57" s="36" t="s">
        <v>71</v>
      </c>
      <c r="E57" s="37">
        <v>3</v>
      </c>
      <c r="F57" s="37">
        <v>3</v>
      </c>
      <c r="G57" s="37">
        <v>3</v>
      </c>
      <c r="H57" s="37">
        <v>3</v>
      </c>
      <c r="I57" s="37">
        <v>3</v>
      </c>
      <c r="J57" s="37">
        <v>3</v>
      </c>
      <c r="K57" s="37">
        <v>3</v>
      </c>
      <c r="L57" s="37">
        <v>3</v>
      </c>
      <c r="M57" s="37">
        <v>3</v>
      </c>
      <c r="N57" s="37">
        <v>3</v>
      </c>
      <c r="O57" s="37">
        <v>3</v>
      </c>
      <c r="P57" s="37">
        <v>2</v>
      </c>
      <c r="Q57" s="37">
        <v>1</v>
      </c>
      <c r="R57" s="5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</row>
    <row r="58" spans="1:23" x14ac:dyDescent="0.3">
      <c r="A58" s="40"/>
      <c r="B58" s="40"/>
      <c r="C58" s="27" t="s">
        <v>66</v>
      </c>
      <c r="D58" s="37" t="s">
        <v>67</v>
      </c>
      <c r="E58" s="37">
        <v>11</v>
      </c>
      <c r="F58" s="37">
        <v>11</v>
      </c>
      <c r="G58" s="37">
        <v>11</v>
      </c>
      <c r="H58" s="37">
        <v>11</v>
      </c>
      <c r="I58" s="37">
        <v>11</v>
      </c>
      <c r="J58" s="37">
        <v>11</v>
      </c>
      <c r="K58" s="37">
        <v>11</v>
      </c>
      <c r="L58" s="37">
        <v>11</v>
      </c>
      <c r="M58" s="37">
        <v>11</v>
      </c>
      <c r="N58" s="37">
        <v>11</v>
      </c>
      <c r="O58" s="37">
        <v>11</v>
      </c>
      <c r="P58" s="37">
        <v>8</v>
      </c>
      <c r="Q58" s="37">
        <v>4</v>
      </c>
      <c r="R58" s="5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</row>
    <row r="59" spans="1:23" x14ac:dyDescent="0.3">
      <c r="A59" s="40"/>
      <c r="B59" s="40" t="s">
        <v>19</v>
      </c>
      <c r="C59" s="26" t="s">
        <v>43</v>
      </c>
      <c r="D59" s="36" t="s">
        <v>69</v>
      </c>
      <c r="E59" s="37">
        <v>4</v>
      </c>
      <c r="F59" s="37">
        <v>3</v>
      </c>
      <c r="G59" s="37">
        <v>3</v>
      </c>
      <c r="H59" s="37">
        <v>3</v>
      </c>
      <c r="I59" s="37">
        <v>3</v>
      </c>
      <c r="J59" s="37">
        <v>3</v>
      </c>
      <c r="K59" s="37">
        <v>3</v>
      </c>
      <c r="L59" s="37">
        <v>3</v>
      </c>
      <c r="M59" s="37">
        <v>3</v>
      </c>
      <c r="N59" s="37">
        <v>3</v>
      </c>
      <c r="O59" s="37">
        <v>3</v>
      </c>
      <c r="P59" s="37">
        <v>3</v>
      </c>
      <c r="Q59" s="37">
        <v>3</v>
      </c>
      <c r="R59" s="37">
        <v>2</v>
      </c>
      <c r="S59" s="37">
        <v>1</v>
      </c>
      <c r="T59" s="52">
        <v>0</v>
      </c>
      <c r="U59" s="12">
        <v>0</v>
      </c>
      <c r="V59" s="12">
        <v>0</v>
      </c>
      <c r="W59" s="12">
        <v>0</v>
      </c>
    </row>
    <row r="60" spans="1:23" x14ac:dyDescent="0.3">
      <c r="A60" s="40"/>
      <c r="B60" s="40"/>
      <c r="C60" s="26"/>
      <c r="D60" s="36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53">
        <v>1</v>
      </c>
      <c r="U60" s="12"/>
      <c r="V60" s="12"/>
      <c r="W60" s="12"/>
    </row>
    <row r="61" spans="1:23" x14ac:dyDescent="0.3">
      <c r="A61" s="40"/>
      <c r="B61" s="40"/>
      <c r="C61" s="26" t="s">
        <v>44</v>
      </c>
      <c r="D61" s="36" t="s">
        <v>69</v>
      </c>
      <c r="E61" s="37">
        <v>3</v>
      </c>
      <c r="F61" s="37">
        <v>3</v>
      </c>
      <c r="G61" s="37">
        <v>3</v>
      </c>
      <c r="H61" s="37">
        <v>3</v>
      </c>
      <c r="I61" s="37">
        <v>3</v>
      </c>
      <c r="J61" s="37">
        <v>3</v>
      </c>
      <c r="K61" s="37">
        <v>3</v>
      </c>
      <c r="L61" s="37">
        <v>3</v>
      </c>
      <c r="M61" s="37">
        <v>3</v>
      </c>
      <c r="N61" s="37">
        <v>3</v>
      </c>
      <c r="O61" s="37">
        <v>3</v>
      </c>
      <c r="P61" s="37">
        <v>3</v>
      </c>
      <c r="Q61" s="37">
        <v>3</v>
      </c>
      <c r="R61" s="37">
        <v>2</v>
      </c>
      <c r="S61" s="37">
        <v>1</v>
      </c>
      <c r="T61" s="52">
        <v>0</v>
      </c>
      <c r="U61" s="12">
        <v>0</v>
      </c>
      <c r="V61" s="12">
        <v>0</v>
      </c>
      <c r="W61" s="12">
        <v>0</v>
      </c>
    </row>
    <row r="62" spans="1:23" x14ac:dyDescent="0.3">
      <c r="A62" s="40"/>
      <c r="B62" s="40"/>
      <c r="C62" s="26" t="s">
        <v>45</v>
      </c>
      <c r="D62" s="36" t="s">
        <v>71</v>
      </c>
      <c r="E62" s="37">
        <v>0.5</v>
      </c>
      <c r="F62" s="37">
        <v>2</v>
      </c>
      <c r="G62" s="37">
        <v>2</v>
      </c>
      <c r="H62" s="37">
        <v>2</v>
      </c>
      <c r="I62" s="37">
        <v>2</v>
      </c>
      <c r="J62" s="37">
        <v>2</v>
      </c>
      <c r="K62" s="37">
        <v>2</v>
      </c>
      <c r="L62" s="37">
        <v>2</v>
      </c>
      <c r="M62" s="37">
        <v>2</v>
      </c>
      <c r="N62" s="37">
        <v>2</v>
      </c>
      <c r="O62" s="37">
        <v>2</v>
      </c>
      <c r="P62" s="37">
        <v>2</v>
      </c>
      <c r="Q62" s="37">
        <v>2</v>
      </c>
      <c r="R62" s="37">
        <v>2</v>
      </c>
      <c r="S62" s="37">
        <v>1</v>
      </c>
      <c r="T62" s="52">
        <v>0</v>
      </c>
      <c r="U62" s="12">
        <v>0</v>
      </c>
      <c r="V62" s="12">
        <v>0</v>
      </c>
      <c r="W62" s="12">
        <v>0</v>
      </c>
    </row>
    <row r="63" spans="1:23" x14ac:dyDescent="0.3">
      <c r="A63" s="40"/>
      <c r="B63" s="40"/>
      <c r="C63" s="26"/>
      <c r="D63" s="36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54">
        <v>-1.5</v>
      </c>
      <c r="U63" s="12"/>
      <c r="V63" s="12"/>
      <c r="W63" s="12"/>
    </row>
    <row r="64" spans="1:23" ht="17.55" customHeight="1" x14ac:dyDescent="0.3">
      <c r="A64" s="40"/>
      <c r="B64" s="40"/>
      <c r="C64" s="26" t="s">
        <v>46</v>
      </c>
      <c r="D64" s="36" t="s">
        <v>71</v>
      </c>
      <c r="E64" s="37">
        <v>3</v>
      </c>
      <c r="F64" s="37">
        <v>3</v>
      </c>
      <c r="G64" s="37">
        <v>3</v>
      </c>
      <c r="H64" s="37">
        <v>3</v>
      </c>
      <c r="I64" s="37">
        <v>3</v>
      </c>
      <c r="J64" s="37">
        <v>3</v>
      </c>
      <c r="K64" s="37">
        <v>3</v>
      </c>
      <c r="L64" s="37">
        <v>3</v>
      </c>
      <c r="M64" s="37">
        <v>3</v>
      </c>
      <c r="N64" s="37">
        <v>3</v>
      </c>
      <c r="O64" s="37">
        <v>3</v>
      </c>
      <c r="P64" s="37">
        <v>3</v>
      </c>
      <c r="Q64" s="37">
        <v>3</v>
      </c>
      <c r="R64" s="37">
        <v>3</v>
      </c>
      <c r="S64" s="37">
        <v>1</v>
      </c>
      <c r="T64" s="52">
        <v>0</v>
      </c>
      <c r="U64" s="12">
        <v>0</v>
      </c>
      <c r="V64" s="12">
        <v>0</v>
      </c>
      <c r="W64" s="12">
        <v>0</v>
      </c>
    </row>
    <row r="65" spans="1:23" x14ac:dyDescent="0.3">
      <c r="A65" s="40"/>
      <c r="B65" s="40"/>
      <c r="C65" s="26" t="s">
        <v>47</v>
      </c>
      <c r="D65" s="36" t="s">
        <v>70</v>
      </c>
      <c r="E65" s="37">
        <v>2</v>
      </c>
      <c r="F65" s="37">
        <v>3</v>
      </c>
      <c r="G65" s="37">
        <v>3</v>
      </c>
      <c r="H65" s="37">
        <v>3</v>
      </c>
      <c r="I65" s="37">
        <v>3</v>
      </c>
      <c r="J65" s="37">
        <v>3</v>
      </c>
      <c r="K65" s="37">
        <v>3</v>
      </c>
      <c r="L65" s="37">
        <v>3</v>
      </c>
      <c r="M65" s="37">
        <v>3</v>
      </c>
      <c r="N65" s="37">
        <v>3</v>
      </c>
      <c r="O65" s="37">
        <v>3</v>
      </c>
      <c r="P65" s="37">
        <v>3</v>
      </c>
      <c r="Q65" s="37">
        <v>3</v>
      </c>
      <c r="R65" s="37">
        <v>3</v>
      </c>
      <c r="S65" s="37">
        <v>2</v>
      </c>
      <c r="T65" s="52">
        <v>0</v>
      </c>
      <c r="U65" s="12">
        <v>0</v>
      </c>
      <c r="V65" s="12">
        <v>0</v>
      </c>
      <c r="W65" s="12">
        <v>0</v>
      </c>
    </row>
    <row r="66" spans="1:23" x14ac:dyDescent="0.3">
      <c r="A66" s="40"/>
      <c r="B66" s="40"/>
      <c r="C66" s="26"/>
      <c r="D66" s="36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54">
        <v>-1</v>
      </c>
      <c r="U66" s="12"/>
      <c r="V66" s="12"/>
      <c r="W66" s="12"/>
    </row>
    <row r="67" spans="1:23" x14ac:dyDescent="0.3">
      <c r="A67" s="40"/>
      <c r="B67" s="40"/>
      <c r="C67" s="26" t="s">
        <v>48</v>
      </c>
      <c r="D67" s="36" t="s">
        <v>68</v>
      </c>
      <c r="E67" s="37">
        <v>3</v>
      </c>
      <c r="F67" s="37">
        <v>3</v>
      </c>
      <c r="G67" s="37">
        <v>3</v>
      </c>
      <c r="H67" s="37">
        <v>3</v>
      </c>
      <c r="I67" s="37">
        <v>3</v>
      </c>
      <c r="J67" s="37">
        <v>3</v>
      </c>
      <c r="K67" s="37">
        <v>3</v>
      </c>
      <c r="L67" s="37">
        <v>3</v>
      </c>
      <c r="M67" s="37">
        <v>3</v>
      </c>
      <c r="N67" s="37">
        <v>3</v>
      </c>
      <c r="O67" s="37">
        <v>3</v>
      </c>
      <c r="P67" s="37">
        <v>3</v>
      </c>
      <c r="Q67" s="37">
        <v>3</v>
      </c>
      <c r="R67" s="37">
        <v>3</v>
      </c>
      <c r="S67" s="37">
        <v>2</v>
      </c>
      <c r="T67" s="52">
        <v>0</v>
      </c>
      <c r="U67" s="12">
        <v>0</v>
      </c>
      <c r="V67" s="12">
        <v>0</v>
      </c>
      <c r="W67" s="12">
        <v>0</v>
      </c>
    </row>
    <row r="68" spans="1:23" x14ac:dyDescent="0.3">
      <c r="A68" s="40"/>
      <c r="B68" s="40"/>
      <c r="C68" s="26" t="s">
        <v>49</v>
      </c>
      <c r="D68" s="36" t="s">
        <v>35</v>
      </c>
      <c r="E68" s="37">
        <v>3</v>
      </c>
      <c r="F68" s="37">
        <v>2</v>
      </c>
      <c r="G68" s="37">
        <v>2</v>
      </c>
      <c r="H68" s="37">
        <v>2</v>
      </c>
      <c r="I68" s="37">
        <v>2</v>
      </c>
      <c r="J68" s="37">
        <v>2</v>
      </c>
      <c r="K68" s="37">
        <v>2</v>
      </c>
      <c r="L68" s="37">
        <v>2</v>
      </c>
      <c r="M68" s="37">
        <v>2</v>
      </c>
      <c r="N68" s="37">
        <v>2</v>
      </c>
      <c r="O68" s="37">
        <v>2</v>
      </c>
      <c r="P68" s="37">
        <v>2</v>
      </c>
      <c r="Q68" s="37">
        <v>2</v>
      </c>
      <c r="R68" s="37">
        <v>2</v>
      </c>
      <c r="S68" s="37">
        <v>1</v>
      </c>
      <c r="T68" s="52">
        <v>0</v>
      </c>
      <c r="U68" s="12">
        <v>0</v>
      </c>
      <c r="V68" s="12">
        <v>0</v>
      </c>
      <c r="W68" s="12">
        <v>0</v>
      </c>
    </row>
    <row r="69" spans="1:23" x14ac:dyDescent="0.3">
      <c r="A69" s="40"/>
      <c r="B69" s="38"/>
      <c r="C69" s="26"/>
      <c r="D69" s="36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53">
        <v>1</v>
      </c>
      <c r="U69" s="12"/>
      <c r="V69" s="12"/>
      <c r="W69" s="12"/>
    </row>
    <row r="70" spans="1:23" x14ac:dyDescent="0.3">
      <c r="A70" s="40"/>
      <c r="B70" s="40" t="s">
        <v>20</v>
      </c>
      <c r="C70" s="26" t="s">
        <v>43</v>
      </c>
      <c r="D70" s="36" t="s">
        <v>68</v>
      </c>
      <c r="E70" s="37">
        <v>1.5</v>
      </c>
      <c r="F70" s="37">
        <v>1.5</v>
      </c>
      <c r="G70" s="37">
        <v>1.5</v>
      </c>
      <c r="H70" s="37">
        <v>1.5</v>
      </c>
      <c r="I70" s="37">
        <v>1.5</v>
      </c>
      <c r="J70" s="37">
        <v>1.5</v>
      </c>
      <c r="K70" s="37">
        <v>1.5</v>
      </c>
      <c r="L70" s="37">
        <v>1.5</v>
      </c>
      <c r="M70" s="37">
        <v>1.5</v>
      </c>
      <c r="N70" s="37">
        <v>1.5</v>
      </c>
      <c r="O70" s="37">
        <v>1.5</v>
      </c>
      <c r="P70" s="37">
        <v>1.5</v>
      </c>
      <c r="Q70" s="37">
        <v>1.5</v>
      </c>
      <c r="R70" s="37">
        <v>1.5</v>
      </c>
      <c r="S70" s="37">
        <v>1.5</v>
      </c>
      <c r="T70" s="37">
        <v>1</v>
      </c>
      <c r="U70" s="52">
        <v>0</v>
      </c>
      <c r="V70" s="12">
        <v>0</v>
      </c>
      <c r="W70" s="12">
        <v>0</v>
      </c>
    </row>
    <row r="71" spans="1:23" x14ac:dyDescent="0.3">
      <c r="A71" s="40"/>
      <c r="B71" s="40"/>
      <c r="C71" s="26" t="s">
        <v>44</v>
      </c>
      <c r="D71" s="36" t="s">
        <v>68</v>
      </c>
      <c r="E71" s="37">
        <v>1.5</v>
      </c>
      <c r="F71" s="37">
        <v>1.5</v>
      </c>
      <c r="G71" s="37">
        <v>1.5</v>
      </c>
      <c r="H71" s="37">
        <v>1.5</v>
      </c>
      <c r="I71" s="37">
        <v>1.5</v>
      </c>
      <c r="J71" s="37">
        <v>1.5</v>
      </c>
      <c r="K71" s="37">
        <v>1.5</v>
      </c>
      <c r="L71" s="37">
        <v>1.5</v>
      </c>
      <c r="M71" s="37">
        <v>1.5</v>
      </c>
      <c r="N71" s="37">
        <v>1.5</v>
      </c>
      <c r="O71" s="37">
        <v>1.5</v>
      </c>
      <c r="P71" s="37">
        <v>1.5</v>
      </c>
      <c r="Q71" s="37">
        <v>1.5</v>
      </c>
      <c r="R71" s="37">
        <v>1.5</v>
      </c>
      <c r="S71" s="37">
        <v>1.5</v>
      </c>
      <c r="T71" s="37">
        <v>1</v>
      </c>
      <c r="U71" s="52">
        <v>0</v>
      </c>
      <c r="V71" s="12">
        <v>0</v>
      </c>
      <c r="W71" s="12">
        <v>0</v>
      </c>
    </row>
    <row r="72" spans="1:23" x14ac:dyDescent="0.3">
      <c r="A72" s="40"/>
      <c r="B72" s="40"/>
      <c r="C72" s="26" t="s">
        <v>45</v>
      </c>
      <c r="D72" s="36" t="s">
        <v>35</v>
      </c>
      <c r="E72" s="37">
        <v>0.5</v>
      </c>
      <c r="F72" s="37">
        <v>1</v>
      </c>
      <c r="G72" s="37">
        <v>1</v>
      </c>
      <c r="H72" s="37">
        <v>1</v>
      </c>
      <c r="I72" s="37">
        <v>1</v>
      </c>
      <c r="J72" s="37">
        <v>1</v>
      </c>
      <c r="K72" s="37">
        <v>1</v>
      </c>
      <c r="L72" s="37">
        <v>1</v>
      </c>
      <c r="M72" s="37">
        <v>1</v>
      </c>
      <c r="N72" s="37">
        <v>1</v>
      </c>
      <c r="O72" s="37">
        <v>1</v>
      </c>
      <c r="P72" s="37">
        <v>1</v>
      </c>
      <c r="Q72" s="37">
        <v>1</v>
      </c>
      <c r="R72" s="37">
        <v>1</v>
      </c>
      <c r="S72" s="37">
        <v>1</v>
      </c>
      <c r="T72" s="37">
        <v>1</v>
      </c>
      <c r="U72" s="52">
        <v>0</v>
      </c>
      <c r="V72" s="12">
        <v>0</v>
      </c>
      <c r="W72" s="12">
        <v>0</v>
      </c>
    </row>
    <row r="73" spans="1:23" x14ac:dyDescent="0.3">
      <c r="A73" s="40"/>
      <c r="B73" s="40"/>
      <c r="C73" s="26"/>
      <c r="D73" s="36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54">
        <v>-0.5</v>
      </c>
      <c r="V73" s="12"/>
      <c r="W73" s="12"/>
    </row>
    <row r="74" spans="1:23" x14ac:dyDescent="0.3">
      <c r="A74" s="40"/>
      <c r="B74" s="40"/>
      <c r="C74" s="26" t="s">
        <v>46</v>
      </c>
      <c r="D74" s="36" t="s">
        <v>35</v>
      </c>
      <c r="E74" s="37">
        <v>1</v>
      </c>
      <c r="F74" s="37">
        <v>1</v>
      </c>
      <c r="G74" s="37">
        <v>1</v>
      </c>
      <c r="H74" s="37">
        <v>1</v>
      </c>
      <c r="I74" s="37">
        <v>1</v>
      </c>
      <c r="J74" s="37">
        <v>1</v>
      </c>
      <c r="K74" s="37">
        <v>1</v>
      </c>
      <c r="L74" s="37">
        <v>1</v>
      </c>
      <c r="M74" s="37">
        <v>1</v>
      </c>
      <c r="N74" s="37">
        <v>1</v>
      </c>
      <c r="O74" s="37">
        <v>1</v>
      </c>
      <c r="P74" s="37">
        <v>1</v>
      </c>
      <c r="Q74" s="37">
        <v>1</v>
      </c>
      <c r="R74" s="37">
        <v>1</v>
      </c>
      <c r="S74" s="37">
        <v>1</v>
      </c>
      <c r="T74" s="37">
        <v>1</v>
      </c>
      <c r="U74" s="52">
        <v>0</v>
      </c>
      <c r="V74" s="12">
        <v>0</v>
      </c>
      <c r="W74" s="12">
        <v>0</v>
      </c>
    </row>
    <row r="75" spans="1:23" x14ac:dyDescent="0.3">
      <c r="A75" s="40"/>
      <c r="B75" s="40"/>
      <c r="C75" s="26" t="s">
        <v>47</v>
      </c>
      <c r="D75" s="36" t="s">
        <v>69</v>
      </c>
      <c r="E75" s="37">
        <v>1.5</v>
      </c>
      <c r="F75" s="37">
        <v>1.5</v>
      </c>
      <c r="G75" s="37">
        <v>1.5</v>
      </c>
      <c r="H75" s="37">
        <v>1.5</v>
      </c>
      <c r="I75" s="37">
        <v>1.5</v>
      </c>
      <c r="J75" s="37">
        <v>1.5</v>
      </c>
      <c r="K75" s="37">
        <v>1.5</v>
      </c>
      <c r="L75" s="37">
        <v>1.5</v>
      </c>
      <c r="M75" s="37">
        <v>1.5</v>
      </c>
      <c r="N75" s="37">
        <v>1.5</v>
      </c>
      <c r="O75" s="37">
        <v>1.5</v>
      </c>
      <c r="P75" s="37">
        <v>1.5</v>
      </c>
      <c r="Q75" s="37">
        <v>1.5</v>
      </c>
      <c r="R75" s="37">
        <v>1.5</v>
      </c>
      <c r="S75" s="37">
        <v>1.5</v>
      </c>
      <c r="T75" s="37">
        <v>1</v>
      </c>
      <c r="U75" s="52">
        <v>0</v>
      </c>
      <c r="V75" s="12">
        <v>0</v>
      </c>
      <c r="W75" s="12">
        <v>0</v>
      </c>
    </row>
    <row r="76" spans="1:23" x14ac:dyDescent="0.3">
      <c r="A76" s="40"/>
      <c r="B76" s="40"/>
      <c r="C76" s="26" t="s">
        <v>48</v>
      </c>
      <c r="D76" s="36" t="s">
        <v>70</v>
      </c>
      <c r="E76" s="37">
        <v>2</v>
      </c>
      <c r="F76" s="37">
        <v>2</v>
      </c>
      <c r="G76" s="37">
        <v>2</v>
      </c>
      <c r="H76" s="37">
        <v>2</v>
      </c>
      <c r="I76" s="37">
        <v>2</v>
      </c>
      <c r="J76" s="37">
        <v>2</v>
      </c>
      <c r="K76" s="37">
        <v>2</v>
      </c>
      <c r="L76" s="37">
        <v>2</v>
      </c>
      <c r="M76" s="37">
        <v>2</v>
      </c>
      <c r="N76" s="37">
        <v>2</v>
      </c>
      <c r="O76" s="37">
        <v>2</v>
      </c>
      <c r="P76" s="37">
        <v>2</v>
      </c>
      <c r="Q76" s="37">
        <v>2</v>
      </c>
      <c r="R76" s="37">
        <v>2</v>
      </c>
      <c r="S76" s="37">
        <v>2</v>
      </c>
      <c r="T76" s="37">
        <v>2</v>
      </c>
      <c r="U76" s="52">
        <v>0</v>
      </c>
      <c r="V76" s="12">
        <v>0</v>
      </c>
      <c r="W76" s="12">
        <v>0</v>
      </c>
    </row>
    <row r="77" spans="1:23" x14ac:dyDescent="0.3">
      <c r="A77" s="40"/>
      <c r="B77" s="40"/>
      <c r="C77" s="26" t="s">
        <v>49</v>
      </c>
      <c r="D77" s="36" t="s">
        <v>71</v>
      </c>
      <c r="E77" s="37">
        <v>1.5</v>
      </c>
      <c r="F77" s="37">
        <v>1.5</v>
      </c>
      <c r="G77" s="37">
        <v>1.5</v>
      </c>
      <c r="H77" s="37">
        <v>1.5</v>
      </c>
      <c r="I77" s="37">
        <v>1.5</v>
      </c>
      <c r="J77" s="37">
        <v>1.5</v>
      </c>
      <c r="K77" s="37">
        <v>1.5</v>
      </c>
      <c r="L77" s="37">
        <v>1.5</v>
      </c>
      <c r="M77" s="37">
        <v>1.5</v>
      </c>
      <c r="N77" s="37">
        <v>1.5</v>
      </c>
      <c r="O77" s="37">
        <v>1.5</v>
      </c>
      <c r="P77" s="37">
        <v>1.5</v>
      </c>
      <c r="Q77" s="37">
        <v>1.5</v>
      </c>
      <c r="R77" s="37">
        <v>1.5</v>
      </c>
      <c r="S77" s="37">
        <v>1.5</v>
      </c>
      <c r="T77" s="37">
        <v>1</v>
      </c>
      <c r="U77" s="52">
        <v>0</v>
      </c>
      <c r="V77" s="12">
        <v>0</v>
      </c>
      <c r="W77" s="12">
        <v>0</v>
      </c>
    </row>
    <row r="78" spans="1:23" x14ac:dyDescent="0.3">
      <c r="A78" s="40"/>
      <c r="B78" s="40" t="s">
        <v>26</v>
      </c>
      <c r="C78" s="26" t="s">
        <v>43</v>
      </c>
      <c r="D78" s="36" t="s">
        <v>69</v>
      </c>
      <c r="E78" s="37">
        <v>1.5</v>
      </c>
      <c r="F78" s="37">
        <v>1.5</v>
      </c>
      <c r="G78" s="37">
        <v>1.5</v>
      </c>
      <c r="H78" s="37">
        <v>1.5</v>
      </c>
      <c r="I78" s="37">
        <v>1.5</v>
      </c>
      <c r="J78" s="37">
        <v>1.5</v>
      </c>
      <c r="K78" s="37">
        <v>1.5</v>
      </c>
      <c r="L78" s="37">
        <v>1.5</v>
      </c>
      <c r="M78" s="37">
        <v>1.5</v>
      </c>
      <c r="N78" s="37">
        <v>1.5</v>
      </c>
      <c r="O78" s="37">
        <v>1.5</v>
      </c>
      <c r="P78" s="37">
        <v>1.5</v>
      </c>
      <c r="Q78" s="37">
        <v>1.5</v>
      </c>
      <c r="R78" s="37">
        <v>1.5</v>
      </c>
      <c r="S78" s="37">
        <v>1.5</v>
      </c>
      <c r="T78" s="37">
        <v>1.5</v>
      </c>
      <c r="U78" s="37">
        <v>1.5</v>
      </c>
      <c r="V78" s="52">
        <v>0</v>
      </c>
      <c r="W78" s="12">
        <v>0</v>
      </c>
    </row>
    <row r="79" spans="1:23" x14ac:dyDescent="0.3">
      <c r="A79" s="40"/>
      <c r="B79" s="40"/>
      <c r="C79" s="26" t="s">
        <v>44</v>
      </c>
      <c r="D79" s="36" t="s">
        <v>69</v>
      </c>
      <c r="E79" s="37">
        <v>1.5</v>
      </c>
      <c r="F79" s="37">
        <v>1.5</v>
      </c>
      <c r="G79" s="37">
        <v>1.5</v>
      </c>
      <c r="H79" s="37">
        <v>1.5</v>
      </c>
      <c r="I79" s="37">
        <v>1.5</v>
      </c>
      <c r="J79" s="37">
        <v>1.5</v>
      </c>
      <c r="K79" s="37">
        <v>1.5</v>
      </c>
      <c r="L79" s="37">
        <v>1.5</v>
      </c>
      <c r="M79" s="37">
        <v>1.5</v>
      </c>
      <c r="N79" s="37">
        <v>1.5</v>
      </c>
      <c r="O79" s="37">
        <v>1.5</v>
      </c>
      <c r="P79" s="37">
        <v>1.5</v>
      </c>
      <c r="Q79" s="37">
        <v>1.5</v>
      </c>
      <c r="R79" s="37">
        <v>1.5</v>
      </c>
      <c r="S79" s="37">
        <v>1.5</v>
      </c>
      <c r="T79" s="37">
        <v>1.5</v>
      </c>
      <c r="U79" s="37">
        <v>1.5</v>
      </c>
      <c r="V79" s="52">
        <v>0</v>
      </c>
      <c r="W79" s="12">
        <v>0</v>
      </c>
    </row>
    <row r="80" spans="1:23" x14ac:dyDescent="0.3">
      <c r="A80" s="40"/>
      <c r="B80" s="40"/>
      <c r="C80" s="26" t="s">
        <v>45</v>
      </c>
      <c r="D80" s="36" t="s">
        <v>71</v>
      </c>
      <c r="E80" s="37">
        <v>1</v>
      </c>
      <c r="F80" s="37">
        <v>1</v>
      </c>
      <c r="G80" s="37">
        <v>1</v>
      </c>
      <c r="H80" s="37">
        <v>1</v>
      </c>
      <c r="I80" s="37">
        <v>1</v>
      </c>
      <c r="J80" s="37">
        <v>1</v>
      </c>
      <c r="K80" s="37">
        <v>1</v>
      </c>
      <c r="L80" s="37">
        <v>1</v>
      </c>
      <c r="M80" s="37">
        <v>1</v>
      </c>
      <c r="N80" s="37">
        <v>1</v>
      </c>
      <c r="O80" s="37">
        <v>1</v>
      </c>
      <c r="P80" s="37">
        <v>1</v>
      </c>
      <c r="Q80" s="37">
        <v>1</v>
      </c>
      <c r="R80" s="37">
        <v>1</v>
      </c>
      <c r="S80" s="37">
        <v>1</v>
      </c>
      <c r="T80" s="37">
        <v>1</v>
      </c>
      <c r="U80" s="37">
        <v>1</v>
      </c>
      <c r="V80" s="52">
        <v>0</v>
      </c>
      <c r="W80" s="12">
        <v>0</v>
      </c>
    </row>
    <row r="81" spans="1:23" x14ac:dyDescent="0.3">
      <c r="A81" s="40"/>
      <c r="B81" s="40"/>
      <c r="C81" s="26" t="s">
        <v>46</v>
      </c>
      <c r="D81" s="36" t="s">
        <v>71</v>
      </c>
      <c r="E81" s="37">
        <v>2.5</v>
      </c>
      <c r="F81" s="37">
        <v>1.5</v>
      </c>
      <c r="G81" s="37">
        <v>1.5</v>
      </c>
      <c r="H81" s="37">
        <v>1.5</v>
      </c>
      <c r="I81" s="37">
        <v>1.5</v>
      </c>
      <c r="J81" s="37">
        <v>1.5</v>
      </c>
      <c r="K81" s="37">
        <v>1.5</v>
      </c>
      <c r="L81" s="37">
        <v>1.5</v>
      </c>
      <c r="M81" s="37">
        <v>1.5</v>
      </c>
      <c r="N81" s="37">
        <v>1.5</v>
      </c>
      <c r="O81" s="37">
        <v>1.5</v>
      </c>
      <c r="P81" s="37">
        <v>1.5</v>
      </c>
      <c r="Q81" s="37">
        <v>1.5</v>
      </c>
      <c r="R81" s="37">
        <v>1.5</v>
      </c>
      <c r="S81" s="37">
        <v>1.5</v>
      </c>
      <c r="T81" s="37">
        <v>1.5</v>
      </c>
      <c r="U81" s="37">
        <v>1.5</v>
      </c>
      <c r="V81" s="52">
        <v>0</v>
      </c>
      <c r="W81" s="12">
        <v>0</v>
      </c>
    </row>
    <row r="82" spans="1:23" x14ac:dyDescent="0.3">
      <c r="A82" s="40"/>
      <c r="B82" s="40"/>
      <c r="C82" s="26"/>
      <c r="D82" s="36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53">
        <v>1</v>
      </c>
      <c r="W82" s="12"/>
    </row>
    <row r="83" spans="1:23" x14ac:dyDescent="0.3">
      <c r="A83" s="40"/>
      <c r="B83" s="40"/>
      <c r="C83" s="26" t="s">
        <v>47</v>
      </c>
      <c r="D83" s="36" t="s">
        <v>70</v>
      </c>
      <c r="E83" s="37">
        <v>2</v>
      </c>
      <c r="F83" s="37">
        <v>2</v>
      </c>
      <c r="G83" s="37">
        <v>2</v>
      </c>
      <c r="H83" s="37">
        <v>2</v>
      </c>
      <c r="I83" s="37">
        <v>2</v>
      </c>
      <c r="J83" s="37">
        <v>2</v>
      </c>
      <c r="K83" s="37">
        <v>2</v>
      </c>
      <c r="L83" s="37">
        <v>2</v>
      </c>
      <c r="M83" s="37">
        <v>2</v>
      </c>
      <c r="N83" s="37">
        <v>2</v>
      </c>
      <c r="O83" s="37">
        <v>2</v>
      </c>
      <c r="P83" s="37">
        <v>2</v>
      </c>
      <c r="Q83" s="37">
        <v>2</v>
      </c>
      <c r="R83" s="37">
        <v>2</v>
      </c>
      <c r="S83" s="37">
        <v>2</v>
      </c>
      <c r="T83" s="37">
        <v>2</v>
      </c>
      <c r="U83" s="37">
        <v>2</v>
      </c>
      <c r="V83" s="52">
        <v>0</v>
      </c>
      <c r="W83" s="12">
        <v>0</v>
      </c>
    </row>
    <row r="84" spans="1:23" x14ac:dyDescent="0.3">
      <c r="A84" s="40"/>
      <c r="B84" s="40"/>
      <c r="C84" s="26" t="s">
        <v>48</v>
      </c>
      <c r="D84" s="36" t="s">
        <v>68</v>
      </c>
      <c r="E84" s="37">
        <v>1.5</v>
      </c>
      <c r="F84" s="37">
        <v>1.5</v>
      </c>
      <c r="G84" s="37">
        <v>1.5</v>
      </c>
      <c r="H84" s="37">
        <v>1.5</v>
      </c>
      <c r="I84" s="37">
        <v>1.5</v>
      </c>
      <c r="J84" s="37">
        <v>1.5</v>
      </c>
      <c r="K84" s="37">
        <v>1.5</v>
      </c>
      <c r="L84" s="37">
        <v>1.5</v>
      </c>
      <c r="M84" s="37">
        <v>1.5</v>
      </c>
      <c r="N84" s="37">
        <v>1.5</v>
      </c>
      <c r="O84" s="37">
        <v>1.5</v>
      </c>
      <c r="P84" s="37">
        <v>1.5</v>
      </c>
      <c r="Q84" s="37">
        <v>1.5</v>
      </c>
      <c r="R84" s="37">
        <v>1.5</v>
      </c>
      <c r="S84" s="37">
        <v>1.5</v>
      </c>
      <c r="T84" s="37">
        <v>1.5</v>
      </c>
      <c r="U84" s="37">
        <v>1.5</v>
      </c>
      <c r="V84" s="52">
        <v>0</v>
      </c>
      <c r="W84" s="12">
        <v>0</v>
      </c>
    </row>
    <row r="85" spans="1:23" x14ac:dyDescent="0.3">
      <c r="A85" s="40"/>
      <c r="B85" s="40"/>
      <c r="C85" s="26" t="s">
        <v>49</v>
      </c>
      <c r="D85" s="36" t="s">
        <v>35</v>
      </c>
      <c r="E85" s="37">
        <v>1</v>
      </c>
      <c r="F85" s="37">
        <v>1</v>
      </c>
      <c r="G85" s="37">
        <v>1</v>
      </c>
      <c r="H85" s="37">
        <v>1</v>
      </c>
      <c r="I85" s="37">
        <v>1</v>
      </c>
      <c r="J85" s="37">
        <v>1</v>
      </c>
      <c r="K85" s="37">
        <v>1</v>
      </c>
      <c r="L85" s="37">
        <v>1</v>
      </c>
      <c r="M85" s="37">
        <v>1</v>
      </c>
      <c r="N85" s="37">
        <v>1</v>
      </c>
      <c r="O85" s="37">
        <v>1</v>
      </c>
      <c r="P85" s="37">
        <v>1</v>
      </c>
      <c r="Q85" s="37">
        <v>1</v>
      </c>
      <c r="R85" s="37">
        <v>1</v>
      </c>
      <c r="S85" s="37">
        <v>1</v>
      </c>
      <c r="T85" s="37">
        <v>1</v>
      </c>
      <c r="U85" s="37">
        <v>1</v>
      </c>
      <c r="V85" s="52">
        <v>0</v>
      </c>
      <c r="W85" s="12">
        <v>0</v>
      </c>
    </row>
    <row r="86" spans="1:23" x14ac:dyDescent="0.3">
      <c r="A86" s="40"/>
      <c r="B86" s="40" t="s">
        <v>23</v>
      </c>
      <c r="C86" s="22" t="s">
        <v>21</v>
      </c>
      <c r="D86" s="55" t="s">
        <v>27</v>
      </c>
      <c r="E86" s="12">
        <v>5</v>
      </c>
      <c r="F86" s="12">
        <v>5</v>
      </c>
      <c r="G86" s="12">
        <v>5</v>
      </c>
      <c r="H86" s="12">
        <v>5</v>
      </c>
      <c r="I86" s="12">
        <v>5</v>
      </c>
      <c r="J86" s="12">
        <v>5</v>
      </c>
      <c r="K86" s="12">
        <v>5</v>
      </c>
      <c r="L86" s="12">
        <v>5</v>
      </c>
      <c r="M86" s="12">
        <v>5</v>
      </c>
      <c r="N86" s="12">
        <v>5</v>
      </c>
      <c r="O86" s="12">
        <v>5</v>
      </c>
      <c r="P86" s="12">
        <v>5</v>
      </c>
      <c r="Q86" s="12">
        <v>5</v>
      </c>
      <c r="R86" s="12">
        <v>5</v>
      </c>
      <c r="S86" s="12">
        <v>5</v>
      </c>
      <c r="T86" s="12">
        <v>5</v>
      </c>
      <c r="U86" s="12">
        <v>5</v>
      </c>
      <c r="V86" s="12">
        <v>5</v>
      </c>
      <c r="W86" s="52">
        <v>0</v>
      </c>
    </row>
    <row r="87" spans="1:23" x14ac:dyDescent="0.3">
      <c r="A87" s="40"/>
      <c r="B87" s="40"/>
      <c r="C87" s="22" t="s">
        <v>22</v>
      </c>
      <c r="D87" s="55" t="s">
        <v>27</v>
      </c>
      <c r="E87" s="12">
        <v>5</v>
      </c>
      <c r="F87" s="12">
        <v>5</v>
      </c>
      <c r="G87" s="12">
        <v>5</v>
      </c>
      <c r="H87" s="12">
        <v>5</v>
      </c>
      <c r="I87" s="12">
        <v>5</v>
      </c>
      <c r="J87" s="12">
        <v>5</v>
      </c>
      <c r="K87" s="12">
        <v>5</v>
      </c>
      <c r="L87" s="12">
        <v>5</v>
      </c>
      <c r="M87" s="12">
        <v>5</v>
      </c>
      <c r="N87" s="12">
        <v>5</v>
      </c>
      <c r="O87" s="12">
        <v>5</v>
      </c>
      <c r="P87" s="12">
        <v>5</v>
      </c>
      <c r="Q87" s="12">
        <v>5</v>
      </c>
      <c r="R87" s="12">
        <v>5</v>
      </c>
      <c r="S87" s="12">
        <v>5</v>
      </c>
      <c r="T87" s="12">
        <v>5</v>
      </c>
      <c r="U87" s="12">
        <v>5</v>
      </c>
      <c r="V87" s="12">
        <v>5</v>
      </c>
      <c r="W87" s="52">
        <v>0</v>
      </c>
    </row>
    <row r="88" spans="1:23" x14ac:dyDescent="0.3">
      <c r="A88" s="40"/>
      <c r="B88" s="39" t="s">
        <v>12</v>
      </c>
      <c r="C88" s="39"/>
      <c r="D88" s="56" t="s">
        <v>11</v>
      </c>
      <c r="E88" s="57">
        <f>SUM(E16:E87)</f>
        <v>171.5</v>
      </c>
      <c r="F88" s="57"/>
      <c r="G88" s="56">
        <f>SUM(G16:G87)</f>
        <v>158</v>
      </c>
      <c r="H88" s="56">
        <f>SUM(H16:H87)</f>
        <v>148</v>
      </c>
      <c r="I88" s="56">
        <f>SUM(I16:I87)</f>
        <v>140</v>
      </c>
      <c r="J88" s="56">
        <f>SUM(J16:J87)</f>
        <v>128</v>
      </c>
      <c r="K88" s="56">
        <f>SUM(K16:K87)</f>
        <v>118.5</v>
      </c>
      <c r="L88" s="56">
        <f>SUM(L16:L87)</f>
        <v>110</v>
      </c>
      <c r="M88" s="56">
        <f>SUM(M16:M87)</f>
        <v>101</v>
      </c>
      <c r="N88" s="56">
        <f>SUM(N16:N87)</f>
        <v>88.5</v>
      </c>
      <c r="O88" s="56">
        <f>SUM(O16:O87)</f>
        <v>82</v>
      </c>
      <c r="P88" s="56">
        <f>SUM(P16:P87)</f>
        <v>71</v>
      </c>
      <c r="Q88" s="56">
        <f>SUM(Q16:Q87)</f>
        <v>59</v>
      </c>
      <c r="R88" s="56">
        <f>SUM(R16:R87)</f>
        <v>46.5</v>
      </c>
      <c r="S88" s="56">
        <f>SUM(S16:S87)</f>
        <v>39</v>
      </c>
      <c r="T88" s="56">
        <f>SUM(T16:T87)</f>
        <v>27.5</v>
      </c>
      <c r="U88" s="56">
        <f>SUM(U16:U87)</f>
        <v>19.5</v>
      </c>
      <c r="V88" s="56">
        <f>SUM(V16:V87)</f>
        <v>11</v>
      </c>
      <c r="W88" s="56">
        <f>SUM(W16:W87)</f>
        <v>0</v>
      </c>
    </row>
    <row r="89" spans="1:23" x14ac:dyDescent="0.3">
      <c r="A89" s="40"/>
      <c r="B89" s="39"/>
      <c r="C89" s="39"/>
      <c r="D89" s="56" t="s">
        <v>28</v>
      </c>
      <c r="E89" s="57">
        <f>SUM(F16:F87)</f>
        <v>166</v>
      </c>
      <c r="F89" s="57"/>
      <c r="G89" s="56">
        <f>SUM(G16:G87)</f>
        <v>158</v>
      </c>
      <c r="H89" s="56">
        <f>SUM(H16:H87)</f>
        <v>148</v>
      </c>
      <c r="I89" s="56">
        <f>SUM(I16:I87)-I19</f>
        <v>138</v>
      </c>
      <c r="J89" s="56">
        <f>SUM(J16:J87)-(J27)</f>
        <v>127</v>
      </c>
      <c r="K89" s="56">
        <f>SUM(K16:K87)-K32</f>
        <v>119</v>
      </c>
      <c r="L89" s="56">
        <f>SUM(L16:L87)-L37</f>
        <v>109</v>
      </c>
      <c r="M89" s="56">
        <f>SUM(M16:M87)</f>
        <v>101</v>
      </c>
      <c r="N89" s="56">
        <f>SUM(N16:N87)-N40-N43</f>
        <v>88</v>
      </c>
      <c r="O89" s="56">
        <f>SUM(O16:O87)-(O49+O47)</f>
        <v>80</v>
      </c>
      <c r="P89" s="56">
        <f>SUM(P16:P87)</f>
        <v>71</v>
      </c>
      <c r="Q89" s="56">
        <f>SUM(Q16:Q87)-Q19</f>
        <v>59</v>
      </c>
      <c r="R89" s="56">
        <f>SUM(R16:R87)-R53</f>
        <v>47</v>
      </c>
      <c r="S89" s="56">
        <f>SUM(S16:S87)</f>
        <v>39</v>
      </c>
      <c r="T89" s="56">
        <f>SUM(T16:T87)-(T60+T63+T66-T69)</f>
        <v>30</v>
      </c>
      <c r="U89" s="56">
        <f>SUM(U16:U87)-V82</f>
        <v>18.5</v>
      </c>
      <c r="V89" s="56">
        <f>SUM(V16:V87)-V82</f>
        <v>10</v>
      </c>
      <c r="W89" s="56">
        <f>SUM(W16:W87)-W19</f>
        <v>0</v>
      </c>
    </row>
  </sheetData>
  <mergeCells count="20">
    <mergeCell ref="B39:B58"/>
    <mergeCell ref="A1:B1"/>
    <mergeCell ref="A2:B2"/>
    <mergeCell ref="A3:B3"/>
    <mergeCell ref="A4:B4"/>
    <mergeCell ref="B6:D6"/>
    <mergeCell ref="B13:C13"/>
    <mergeCell ref="B16:C16"/>
    <mergeCell ref="B17:C17"/>
    <mergeCell ref="B18:C18"/>
    <mergeCell ref="B20:B28"/>
    <mergeCell ref="B29:B38"/>
    <mergeCell ref="A16:A89"/>
    <mergeCell ref="B88:C89"/>
    <mergeCell ref="B78:B85"/>
    <mergeCell ref="B86:B87"/>
    <mergeCell ref="B59:B68"/>
    <mergeCell ref="E88:F88"/>
    <mergeCell ref="E89:F89"/>
    <mergeCell ref="B70:B77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K5" sqref="K5"/>
    </sheetView>
  </sheetViews>
  <sheetFormatPr defaultRowHeight="15.05" x14ac:dyDescent="0.3"/>
  <cols>
    <col min="2" max="11" width="10" customWidth="1"/>
  </cols>
  <sheetData>
    <row r="1" spans="1:11" ht="16.899999999999999" x14ac:dyDescent="0.3">
      <c r="A1" s="46" t="s">
        <v>30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16.899999999999999" x14ac:dyDescent="0.3">
      <c r="A2" s="49"/>
      <c r="B2" s="50" t="s">
        <v>68</v>
      </c>
      <c r="C2" s="50"/>
      <c r="D2" s="50" t="s">
        <v>70</v>
      </c>
      <c r="E2" s="50"/>
      <c r="F2" s="50" t="s">
        <v>35</v>
      </c>
      <c r="G2" s="50"/>
      <c r="H2" s="50" t="s">
        <v>71</v>
      </c>
      <c r="I2" s="50"/>
      <c r="J2" s="50" t="s">
        <v>69</v>
      </c>
      <c r="K2" s="51"/>
    </row>
    <row r="3" spans="1:11" ht="16.899999999999999" x14ac:dyDescent="0.3">
      <c r="A3" s="49"/>
      <c r="B3" s="10" t="s">
        <v>11</v>
      </c>
      <c r="C3" s="10" t="s">
        <v>28</v>
      </c>
      <c r="D3" s="10" t="s">
        <v>11</v>
      </c>
      <c r="E3" s="10" t="s">
        <v>28</v>
      </c>
      <c r="F3" s="10" t="s">
        <v>11</v>
      </c>
      <c r="G3" s="10" t="s">
        <v>28</v>
      </c>
      <c r="H3" s="10" t="s">
        <v>11</v>
      </c>
      <c r="I3" s="10" t="s">
        <v>28</v>
      </c>
      <c r="J3" s="10" t="s">
        <v>11</v>
      </c>
      <c r="K3" s="11" t="s">
        <v>28</v>
      </c>
    </row>
    <row r="4" spans="1:11" ht="16.899999999999999" x14ac:dyDescent="0.3">
      <c r="A4" s="14" t="s">
        <v>4</v>
      </c>
      <c r="B4" s="62">
        <f>'Sprint 1'!D8</f>
        <v>35.299999999999997</v>
      </c>
      <c r="C4" s="62">
        <f>'Sprint 1'!E8</f>
        <v>34.299999999999997</v>
      </c>
      <c r="D4" s="62">
        <f>'Sprint 1'!D9</f>
        <v>32.633333333333326</v>
      </c>
      <c r="E4" s="62">
        <f>'Sprint 1'!E9</f>
        <v>31.633333333333329</v>
      </c>
      <c r="F4" s="62">
        <f>'Sprint 1'!D10</f>
        <v>33.633333333333333</v>
      </c>
      <c r="G4" s="62">
        <f>'Sprint 1'!E10</f>
        <v>33.133333333333333</v>
      </c>
      <c r="H4" s="62">
        <f>'Sprint 1'!D11</f>
        <v>35.299999999999997</v>
      </c>
      <c r="I4" s="62">
        <f>'Sprint 1'!E11</f>
        <v>33.299999999999997</v>
      </c>
      <c r="J4" s="62">
        <f>'Sprint 1'!D12</f>
        <v>34.633333333333333</v>
      </c>
      <c r="K4" s="62">
        <f>'Sprint 1'!E12</f>
        <v>33.633333333333333</v>
      </c>
    </row>
    <row r="5" spans="1:11" ht="16.899999999999999" x14ac:dyDescent="0.3">
      <c r="A5" s="14" t="s">
        <v>24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16.899999999999999" x14ac:dyDescent="0.3">
      <c r="A6" s="14" t="s">
        <v>25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7.55" thickBot="1" x14ac:dyDescent="0.35">
      <c r="A7" s="15" t="s">
        <v>12</v>
      </c>
      <c r="B7" s="13">
        <f>SUM(B4:B6)</f>
        <v>35.299999999999997</v>
      </c>
      <c r="C7" s="13">
        <f t="shared" ref="C7:K7" si="0">SUM(C4:C6)</f>
        <v>34.299999999999997</v>
      </c>
      <c r="D7" s="13">
        <f t="shared" si="0"/>
        <v>32.633333333333326</v>
      </c>
      <c r="E7" s="13">
        <f t="shared" si="0"/>
        <v>31.633333333333329</v>
      </c>
      <c r="F7" s="13">
        <f t="shared" si="0"/>
        <v>33.633333333333333</v>
      </c>
      <c r="G7" s="13">
        <f t="shared" si="0"/>
        <v>33.133333333333333</v>
      </c>
      <c r="H7" s="13">
        <f t="shared" si="0"/>
        <v>35.299999999999997</v>
      </c>
      <c r="I7" s="13">
        <f t="shared" si="0"/>
        <v>33.299999999999997</v>
      </c>
      <c r="J7" s="13">
        <f t="shared" si="0"/>
        <v>34.633333333333333</v>
      </c>
      <c r="K7" s="13">
        <f t="shared" si="0"/>
        <v>33.633333333333333</v>
      </c>
    </row>
    <row r="9" spans="1:11" ht="15.65" thickBot="1" x14ac:dyDescent="0.35"/>
    <row r="10" spans="1:11" ht="16.899999999999999" x14ac:dyDescent="0.3">
      <c r="E10" s="44" t="s">
        <v>31</v>
      </c>
      <c r="F10" s="45"/>
    </row>
    <row r="11" spans="1:11" ht="16.899999999999999" x14ac:dyDescent="0.3">
      <c r="E11" s="16" t="s">
        <v>11</v>
      </c>
      <c r="F11" s="17">
        <f>SUMIF($B$3:$K$3,"Thực tế",$B$7:$K$7)</f>
        <v>171.5</v>
      </c>
    </row>
    <row r="12" spans="1:11" ht="17.55" thickBot="1" x14ac:dyDescent="0.35">
      <c r="E12" s="18" t="s">
        <v>28</v>
      </c>
      <c r="F12" s="19">
        <f>SUMIF($B$3:$K$3,"Ước tính",$B$7:$K$7)</f>
        <v>166</v>
      </c>
    </row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Nhi Trần</cp:lastModifiedBy>
  <dcterms:created xsi:type="dcterms:W3CDTF">2021-04-23T08:05:10Z</dcterms:created>
  <dcterms:modified xsi:type="dcterms:W3CDTF">2026-04-27T00:59:56Z</dcterms:modified>
</cp:coreProperties>
</file>